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5923C60-03FB-4B58-931C-5CF8A033962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MasterItem" sheetId="1" r:id="rId1"/>
    <sheet name="INPUTAN" sheetId="2" r:id="rId2"/>
    <sheet name="Informasi " sheetId="3" r:id="rId3"/>
    <sheet name="RKK 2025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2" i="1" s="1"/>
</calcChain>
</file>

<file path=xl/sharedStrings.xml><?xml version="1.0" encoding="utf-8"?>
<sst xmlns="http://schemas.openxmlformats.org/spreadsheetml/2006/main" count="2716" uniqueCount="926">
  <si>
    <t>Daftar Item</t>
  </si>
  <si>
    <t>Pagu</t>
  </si>
  <si>
    <t>Total Pagu</t>
  </si>
  <si>
    <t>Timestamp</t>
  </si>
  <si>
    <t>Nama PJ</t>
  </si>
  <si>
    <t>Item</t>
  </si>
  <si>
    <t>Bulan</t>
  </si>
  <si>
    <t>Tahun</t>
  </si>
  <si>
    <t>JumlahRPD</t>
  </si>
  <si>
    <t>Keterangan</t>
  </si>
  <si>
    <t>Username</t>
  </si>
  <si>
    <t>Realisasi</t>
  </si>
  <si>
    <t>X</t>
  </si>
  <si>
    <t>test</t>
  </si>
  <si>
    <t>Contoh</t>
  </si>
  <si>
    <t>April</t>
  </si>
  <si>
    <t>Gaji Induk</t>
  </si>
  <si>
    <t>Desember</t>
  </si>
  <si>
    <t>INFORMASI edit masteritem</t>
  </si>
  <si>
    <t>Pastikan detail seperti ini (jangan lupa titiknya dan tanda (-), dikarenakan digunakan sebagai pemisah kolomnya nanti</t>
  </si>
  <si>
    <t>Contoh:</t>
  </si>
  <si>
    <t>WA.2886.EBD.52-Layanan Reformasi Kinerja</t>
  </si>
  <si>
    <t>Contoh yang salah</t>
  </si>
  <si>
    <t>WA</t>
  </si>
  <si>
    <t>EBD</t>
  </si>
  <si>
    <t>Layanan Reformasi Kinerja</t>
  </si>
  <si>
    <t>WA-2897 dafsd</t>
  </si>
  <si>
    <t>Program</t>
  </si>
  <si>
    <t>Kegiatan</t>
  </si>
  <si>
    <t>Output</t>
  </si>
  <si>
    <t>Jenbel (jenis belanja)</t>
  </si>
  <si>
    <t>Uraian item</t>
  </si>
  <si>
    <t>Pastikan Format jumlah pagu mengikuti baris yang sudah ada</t>
  </si>
  <si>
    <t xml:space="preserve">Pastikan Sheet MasterItem terutama baris 1 (nama kolom) tidak terhapus, </t>
  </si>
  <si>
    <t>dikarenakan sheet ini akan otomatis update di monitoring dan juga pada inputan anggaran</t>
  </si>
  <si>
    <t>Pastikan Sheet INPUTAN JANGAN DIUBAH DAN DIHAPUS</t>
  </si>
  <si>
    <t>Pastikan Sheet MasterItem, pada nominal Pagu, pastikan untuk rekap tahun sebelumnya sudah didownload excelnya, sebelum memperbarui pagu</t>
  </si>
  <si>
    <t>054.01.GG</t>
  </si>
  <si>
    <t>Program Penyediaan dan Pelayanan Informasi Statistik</t>
  </si>
  <si>
    <t>2896</t>
  </si>
  <si>
    <t>Pengembangan dan Analisis Statistik</t>
  </si>
  <si>
    <t>2896.BMA</t>
  </si>
  <si>
    <t>Data dan Informasi Publik[Base Line]</t>
  </si>
  <si>
    <t>1.0 dokumen, Peta, Data</t>
  </si>
  <si>
    <t>Lokasi : KOTA S O L O K</t>
  </si>
  <si>
    <t>2896.BMA.004</t>
  </si>
  <si>
    <t>PUBLIKASI/LAPORAN ANALISIS DAN PENGEMBANGAN STATISTIK</t>
  </si>
  <si>
    <t>1.0 dokumen</t>
  </si>
  <si>
    <t>052</t>
  </si>
  <si>
    <t>PENGUMPULAN DATA</t>
  </si>
  <si>
    <t xml:space="preserve"> </t>
  </si>
  <si>
    <t>U</t>
  </si>
  <si>
    <t>A</t>
  </si>
  <si>
    <t>TANPA SUB KOMPONEN</t>
  </si>
  <si>
    <t>524113</t>
  </si>
  <si>
    <t>Belanja Perjalanan Dinas Dalam Kota</t>
  </si>
  <si>
    <t>RM</t>
  </si>
  <si>
    <t>(KPPN.090-Solok )</t>
  </si>
  <si>
    <t xml:space="preserve">  - </t>
  </si>
  <si>
    <t>transport lokal</t>
  </si>
  <si>
    <t>1.0 OK</t>
  </si>
  <si>
    <t>2897</t>
  </si>
  <si>
    <t>Pelayanan dan Pengembangan Diseminasi Informasi Statistik</t>
  </si>
  <si>
    <t>2897.BMA</t>
  </si>
  <si>
    <t>2.0 dokumen, Peta, Data</t>
  </si>
  <si>
    <t>2897.BMA.004</t>
  </si>
  <si>
    <t>LAPORAN DISEMINASI DAN METADATA STATISTIK</t>
  </si>
  <si>
    <t>2.0 dokumen</t>
  </si>
  <si>
    <t>Transport Lokal Pelaksanaan SKD 2026 Kabupaten/Kota</t>
  </si>
  <si>
    <t>3.0 OK</t>
  </si>
  <si>
    <t>2897.QDB</t>
  </si>
  <si>
    <t>Fasilitasi dan Pembinaan Lembaga[Base Line]</t>
  </si>
  <si>
    <t>1.0 Lembaga</t>
  </si>
  <si>
    <t>2897.QDB.003</t>
  </si>
  <si>
    <t>PEMBINAAN STATISTIK SEKTORAL</t>
  </si>
  <si>
    <t>522151</t>
  </si>
  <si>
    <t>Belanja Jasa Profesi</t>
  </si>
  <si>
    <t>Honor narasumber eselon II/ ke bawah</t>
  </si>
  <si>
    <t>1.0 OJ</t>
  </si>
  <si>
    <t>Transport lokal dalam rangka pembinaan statistik sektoral (kabkota)</t>
  </si>
  <si>
    <t>9.0 OK</t>
  </si>
  <si>
    <t>2898</t>
  </si>
  <si>
    <t>Penyediaan dan Pengembangan Statistik Neraca Pengeluaran</t>
  </si>
  <si>
    <t>2898.BMA</t>
  </si>
  <si>
    <t>5.0 dokumen, Peta, Data</t>
  </si>
  <si>
    <t>2898.BMA.007</t>
  </si>
  <si>
    <t>PUBLIKASI/LAPORAN STATISTIK NERACA PENGELUARAN</t>
  </si>
  <si>
    <t>5.0 dokumen</t>
  </si>
  <si>
    <t>005</t>
  </si>
  <si>
    <t>Dukungan Penyelenggaraan Tugas dan Fungsi Unit</t>
  </si>
  <si>
    <t>521213</t>
  </si>
  <si>
    <t>Belanja Honor Output Kegiatan</t>
  </si>
  <si>
    <t>honor petugas pendataan lapangan SKLNP Triwulanan (kabkot)</t>
  </si>
  <si>
    <t>40.0 Dok</t>
  </si>
  <si>
    <t>honor petugas pendataan lapangan sksppi di kab/kota</t>
  </si>
  <si>
    <t>20.0 Dok</t>
  </si>
  <si>
    <t>transport lokal petugas pemeriksaan lapangan Dokumen Survei institusi LNP</t>
  </si>
  <si>
    <t>2.0 OK</t>
  </si>
  <si>
    <t>transport lokal petugas pemeriksaan lapangan sksppi di kab/kota</t>
  </si>
  <si>
    <t>051</t>
  </si>
  <si>
    <t>PERSIAPAN</t>
  </si>
  <si>
    <t>521211</t>
  </si>
  <si>
    <t>Belanja Bahan</t>
  </si>
  <si>
    <t>konsumsi fullday di kantor pelatihan petugas pencacahan SKLNPT dan SKPS</t>
  </si>
  <si>
    <t>8.0 OK</t>
  </si>
  <si>
    <t>honor pengajar petugas fullday di kantor pelatihan petugas pencacahan SKLNPT dan SKPS</t>
  </si>
  <si>
    <t>9.0 OJP</t>
  </si>
  <si>
    <t>521811</t>
  </si>
  <si>
    <t>Belanja Barang Persediaan Barang Konsumsi</t>
  </si>
  <si>
    <t>pengadaan atk, kertas, dan bahan cetak</t>
  </si>
  <si>
    <t>1.0 Paket</t>
  </si>
  <si>
    <t>transport lokal fullday di kantor pelatihan petugas pencacahan SKLNPT dan SKPS</t>
  </si>
  <si>
    <t>6.0 OK</t>
  </si>
  <si>
    <t>paket data petugas pencacahan sksppi di kab/kota</t>
  </si>
  <si>
    <t>6.0 OB</t>
  </si>
  <si>
    <t>paket data petugas pendataan SKLNP Triwulanan di kab/kota</t>
  </si>
  <si>
    <t>8.0 OB</t>
  </si>
  <si>
    <t>Perjalanan pengawasan pencacahan sksppi dari kab/kota ke kecamatan</t>
  </si>
  <si>
    <t>1.0 OP</t>
  </si>
  <si>
    <t>Perjalanan pengawasan pencacahan survei penyusunan disagregasi pmtb dari kab/kota ke kecamatan</t>
  </si>
  <si>
    <t>16.0 OP</t>
  </si>
  <si>
    <t>2899</t>
  </si>
  <si>
    <t>Penyediaan dan Pengembangan Statistik Neraca Produksi</t>
  </si>
  <si>
    <t>2899.BMA</t>
  </si>
  <si>
    <t>3.0 dokumen, Peta, Data</t>
  </si>
  <si>
    <t>2899.BMA.006</t>
  </si>
  <si>
    <t>PUBLIKASI/LAPORAN NERACA PRODUKSI</t>
  </si>
  <si>
    <t>3.0 dokumen</t>
  </si>
  <si>
    <t>Honor petugas lapangan SKTNP Jasa 2026</t>
  </si>
  <si>
    <t>honor petugas pendataan lapangan survei khusus neraca produksi (SKNP)</t>
  </si>
  <si>
    <t>28.0 Dok</t>
  </si>
  <si>
    <t>honor petugas pengolahan dokumen SKNP</t>
  </si>
  <si>
    <t>Honor petugas pengolahan survei SKTNP Jasa</t>
  </si>
  <si>
    <t>transport lokal inventarisasi data sekunder penyusunan pdrb tahunan</t>
  </si>
  <si>
    <t>5.0 OK</t>
  </si>
  <si>
    <t>transport lokal inventarisasi data sekunder penyusunan pdrb triwulanan</t>
  </si>
  <si>
    <t>Transport Lokal Pengumpulan Data Kab/Kota</t>
  </si>
  <si>
    <t>7.0 OK</t>
  </si>
  <si>
    <t>transport lokal petugas pemeriksaan lapangan survei khusus neraca produksi (SKNP)</t>
  </si>
  <si>
    <t>Transport lokal petugas pemeriksaan lapangan survei SKTNP Jasa</t>
  </si>
  <si>
    <t>Biaya paket daya pelatihan petugas</t>
  </si>
  <si>
    <t>perlengkapan pelatihan petugas survei-survei di neraca produksi</t>
  </si>
  <si>
    <t>8.0 Set</t>
  </si>
  <si>
    <t>honor pengajar petugas</t>
  </si>
  <si>
    <t>18.0 OJP</t>
  </si>
  <si>
    <t>Pengadaan atk, kertas, dan bahan cetak di Kab/Kota</t>
  </si>
  <si>
    <t>pengadaan komputer supplies di kab/kota</t>
  </si>
  <si>
    <t>Penggandaan Kuesioner dan Buku Pedoman pelatihan petugas SKNP</t>
  </si>
  <si>
    <t>340.0 Lmbr</t>
  </si>
  <si>
    <t>honor narasumber pejabat eselon III/yang disetarakan di provinsi</t>
  </si>
  <si>
    <t>524114</t>
  </si>
  <si>
    <t>Belanja Perjalanan Dinas Paket Meeting Dalam Kota</t>
  </si>
  <si>
    <t>Paket meeting fullday penyelenggaraan pelatihan petugas survei-survei di neraca produksi</t>
  </si>
  <si>
    <t>10.0 OP</t>
  </si>
  <si>
    <t>Perjalanan fullday pelatihan petugas survei-survei di neraca produksi</t>
  </si>
  <si>
    <t>Paket data pendataan SKNP</t>
  </si>
  <si>
    <t>4.0 OB</t>
  </si>
  <si>
    <t>Perjalanan dinas supervisi survei khusus neraca produksi dari kab/kota ke kecamatan</t>
  </si>
  <si>
    <t>2900</t>
  </si>
  <si>
    <t>Pengembangan Metodologi Sensus dan Survei</t>
  </si>
  <si>
    <t>2900.BMA</t>
  </si>
  <si>
    <t>2900.BMA.005</t>
  </si>
  <si>
    <t>Dokumen/Laporan Pengembangan Metodologi Kegiatan Statistik</t>
  </si>
  <si>
    <t>transport lokal profiling sbr kabkot</t>
  </si>
  <si>
    <t>pengadaan atk kabkot</t>
  </si>
  <si>
    <t>1.0 PAKET</t>
  </si>
  <si>
    <t>pengadaan komputer supplies kabkot</t>
  </si>
  <si>
    <t>Perjalanan dinas dalam rangka supervisi kegiatan metodologi kegiatan statistik kabkot ke kec</t>
  </si>
  <si>
    <t>2901</t>
  </si>
  <si>
    <t>Pengembangan Sistem Informasi Statistik</t>
  </si>
  <si>
    <t>2901.CAN</t>
  </si>
  <si>
    <t>Sarana Bidang Teknologi Informasi dan Komunikasi[Base Line]</t>
  </si>
  <si>
    <t>1.0 Unit</t>
  </si>
  <si>
    <t>2901.CAN.004</t>
  </si>
  <si>
    <t>Pengembangan Infrastruktur dan Layanan Teknologi Informasi dan Komunikasi</t>
  </si>
  <si>
    <t>056</t>
  </si>
  <si>
    <t>523121</t>
  </si>
  <si>
    <t>Belanja Pemeliharaan Peralatan dan Mesin</t>
  </si>
  <si>
    <t>Pengadaan software pendukung perwajahan publikasi BPS Kabupaten/Kota</t>
  </si>
  <si>
    <t>2902</t>
  </si>
  <si>
    <t>Penyediaan dan Pengembangan Statistik Distribusi</t>
  </si>
  <si>
    <t>2902.BMA</t>
  </si>
  <si>
    <t>9.0 dokumen, Peta, Data</t>
  </si>
  <si>
    <t>2902.BMA.004</t>
  </si>
  <si>
    <t>PUBLIKASI/LAPORAN STATISTIK DISTRIBUSI</t>
  </si>
  <si>
    <t>Honor petugas pendataan lapangan Survei Jasa Penunjang Angkutan (Pergudangan dan Kurir)</t>
  </si>
  <si>
    <t>2.0 Dok</t>
  </si>
  <si>
    <t>Transport lokal petugas pemeriksaan lapangan dokumen Kompilasi Data Angkutan Penumpang dan Barang-Jembatan Timbang</t>
  </si>
  <si>
    <t>Transport lokal petugas pemeriksaan lapangan dokumen pj ii/5</t>
  </si>
  <si>
    <t>transport lokal petugas pemeriksaan Survei Jasa Penunjang Angkutan (Pergudangan dan Kurir)</t>
  </si>
  <si>
    <t>Transport lokal petugas Pendataan lapangan dokumen angkutan darat PJ II/5</t>
  </si>
  <si>
    <t>Transport lokal petugas Pendataan lapangan dokumen Kompilasi Data Angkutan Penumpang dan Barang-Jembatan Timbang</t>
  </si>
  <si>
    <t>transport lokal petugas pendataan lapangan Survei Jasa Penunjang Angkutan (Pergudangan dan Kurir)</t>
  </si>
  <si>
    <t>Biaya paket data pengumpulan data Survei Jasa Penunjang Angkutan (Pergudangan dan Kurir)</t>
  </si>
  <si>
    <t>1.0 OB</t>
  </si>
  <si>
    <t>2902.BMA.006</t>
  </si>
  <si>
    <t>PUBLIKASI/LAPORAN SENSUS EKONOMI</t>
  </si>
  <si>
    <t>7.0 dokumen</t>
  </si>
  <si>
    <t>honor pemeriksa lapangan sensus (PES)</t>
  </si>
  <si>
    <t>4.0 O-B</t>
  </si>
  <si>
    <t>honor petugas pemeriksa lapangan (non organik)aHonor pengolahan peta (Wilkerstat)</t>
  </si>
  <si>
    <t>1.0 O-B</t>
  </si>
  <si>
    <t>honor petugas lapangan sensus (PES)</t>
  </si>
  <si>
    <t>16.0 O-B</t>
  </si>
  <si>
    <t>Honor petugas pemeriksaan sensus (koseka organik)</t>
  </si>
  <si>
    <t>Honor petugas pemeriksaan sensus (pms)</t>
  </si>
  <si>
    <t>20.0 O-B</t>
  </si>
  <si>
    <t>Honor petugas pendataan sensus</t>
  </si>
  <si>
    <t>39.0 O-B</t>
  </si>
  <si>
    <t>Task force pendataan lengkap dan CAWI BPS Kab/Kota</t>
  </si>
  <si>
    <t>100.0 OK</t>
  </si>
  <si>
    <t>523</t>
  </si>
  <si>
    <t>Publisitas SE2026</t>
  </si>
  <si>
    <t>522191</t>
  </si>
  <si>
    <t>Belanja Jasa Lainnya</t>
  </si>
  <si>
    <t>Penayangan ILM di media cetak, online, sosial, elektronik kab/kota</t>
  </si>
  <si>
    <t>Penyelenggaraan Pencanangan SE2026 oleh Kepala Daerah (Kabkota)</t>
  </si>
  <si>
    <t>524</t>
  </si>
  <si>
    <t>Penetapan Kerangka Geospasial dan Muatan Wilkerstat</t>
  </si>
  <si>
    <t>konsumsi pelatihan petugas pengolahan peta (2 snack 1 makan)</t>
  </si>
  <si>
    <t>Perlengkapan pelatihan petugas pengolahan peta</t>
  </si>
  <si>
    <t>5.0 SET</t>
  </si>
  <si>
    <t>Honor pengajar pelatihan petugas pengolahan peta</t>
  </si>
  <si>
    <t>521219</t>
  </si>
  <si>
    <t>Belanja Barang Non Operasional Lainnya</t>
  </si>
  <si>
    <t>Asuransi petugas</t>
  </si>
  <si>
    <t>pengadaan atk kab/kota</t>
  </si>
  <si>
    <t>pengadaan computer supplies kab/kota</t>
  </si>
  <si>
    <t>Perjalanan Pengecekan Perubahan Satuan Lingkungan Setempat SE2026 Kabupaten ke Kecamatan</t>
  </si>
  <si>
    <t>perjalanan petugas pelatihan pengolahan</t>
  </si>
  <si>
    <t>529</t>
  </si>
  <si>
    <t>Penerapan Prelist SBR Untuk SE2026</t>
  </si>
  <si>
    <t>pengadaan komputer supplies kab/kota</t>
  </si>
  <si>
    <t>Perjalanan pengawasan lapangan register usaha kabupaten/kota ke kecamatan</t>
  </si>
  <si>
    <t>2.0 O-P</t>
  </si>
  <si>
    <t>transport lokal sbr kab/kota</t>
  </si>
  <si>
    <t>3.0 O-K</t>
  </si>
  <si>
    <t>530</t>
  </si>
  <si>
    <t>Pelaksanaan SE2026</t>
  </si>
  <si>
    <t>Konsumsi rapat pertemuan tim petugas kab/kota</t>
  </si>
  <si>
    <t>144.0 OK</t>
  </si>
  <si>
    <t>Biaya Paket Data Pelaksanaan SE2026</t>
  </si>
  <si>
    <t>96.0 OB</t>
  </si>
  <si>
    <t>Honor pengajar pelatihan petugas pendataan</t>
  </si>
  <si>
    <t>36.0 OJP</t>
  </si>
  <si>
    <t>Honor tim pelaksana kegiatan di Kabupaten/Kota : anggota</t>
  </si>
  <si>
    <t>60.0 OB</t>
  </si>
  <si>
    <t>Honor tim pelaksana kegiatan di Kabupaten/Kota : ketua</t>
  </si>
  <si>
    <t>12.0 OB</t>
  </si>
  <si>
    <t>Honor tim pelaksana kegiatan di Kabupaten/Kota : penanggung jawab</t>
  </si>
  <si>
    <t>Honor tim pelaksana kegiatan di Kabupaten/Kota : wakil</t>
  </si>
  <si>
    <t>48.0 OB</t>
  </si>
  <si>
    <t>92.0 OB</t>
  </si>
  <si>
    <t>Pengadaan atk, kertas, dan bahan cetak Kab/Kot</t>
  </si>
  <si>
    <t>Honor Moderator (Kab/Kota)</t>
  </si>
  <si>
    <t>Honor narasumber pejabat eselon ii/disetarakan (Kab/Kota)</t>
  </si>
  <si>
    <t>2.0 OJ</t>
  </si>
  <si>
    <t>Honor narasumber pejabat eselon iii kebawah/disetarakan (Kab/Kota)</t>
  </si>
  <si>
    <t>4.0 OJ</t>
  </si>
  <si>
    <t>Perjalanan Pengawasan bps kab/kota ke kecamatan (Transport Kabupaten ke Kecamatan )</t>
  </si>
  <si>
    <t>Role playing pelatihan petugas</t>
  </si>
  <si>
    <t>Transport penunjuk jalan</t>
  </si>
  <si>
    <t>106.0 OK</t>
  </si>
  <si>
    <t>Transport Pertemuan Petugas</t>
  </si>
  <si>
    <t>Paket Meeting Fullboard pelatihan petugas pendataan</t>
  </si>
  <si>
    <t>108.0 OP</t>
  </si>
  <si>
    <t>Perjalanan Fullboard pelatihan petugas pendataan</t>
  </si>
  <si>
    <t>54.0 OP</t>
  </si>
  <si>
    <t>532</t>
  </si>
  <si>
    <t>Post Enumeration Survey (PES) SE2026</t>
  </si>
  <si>
    <t>biaya paket data pendataan PES SE2026</t>
  </si>
  <si>
    <t>20.0 OB</t>
  </si>
  <si>
    <t>pengadaan atk</t>
  </si>
  <si>
    <t>pengadaan komputer supplies</t>
  </si>
  <si>
    <t>Perjalanan pengawasan kegiatan oleh BPS Kab/kota</t>
  </si>
  <si>
    <t>2.0 OP</t>
  </si>
  <si>
    <t>Perjalanan rekonsiliasi lapangan</t>
  </si>
  <si>
    <t>535</t>
  </si>
  <si>
    <t>Penyusunan Diseminasi SE2026</t>
  </si>
  <si>
    <t>pengadaan perlengkapan promosi produk statistik SE2026 (kab/kot)</t>
  </si>
  <si>
    <t>2903</t>
  </si>
  <si>
    <t>Penyediaan dan Pengembangan Statistik Harga</t>
  </si>
  <si>
    <t>2903.BMA</t>
  </si>
  <si>
    <t>2903.BMA.009</t>
  </si>
  <si>
    <t>PUBLIKASI/LAPORAN STATISTIK HARGA</t>
  </si>
  <si>
    <t>Honor petugas pendataan lapangan Survei Harga Kemahalan Konstruksi</t>
  </si>
  <si>
    <t>156.0 DOK</t>
  </si>
  <si>
    <t>Honor petugas pendataan lapangan Survei Harga Perdagangan Besar</t>
  </si>
  <si>
    <t>432.0 DOK</t>
  </si>
  <si>
    <t>Honor petugas pendataan lapangan Survei Harga Perdagangan Besar Mingguan</t>
  </si>
  <si>
    <t>240.0 DOK</t>
  </si>
  <si>
    <t>Honor petugas pendataan lapangan Survei Harga Produsen Identifikasi Komoditas Utama</t>
  </si>
  <si>
    <t>12.0 DOK</t>
  </si>
  <si>
    <t>Honor petugas pendataan lapangan Survei Harga Produsen Sektor Industri Pengolahan, Pertambangan, dan Penggalian (HP)</t>
  </si>
  <si>
    <t>84.0 DOK</t>
  </si>
  <si>
    <t>Honor petugas pendataan lapangan Survei Harga Produsen Sektor Jasa (HPJ)</t>
  </si>
  <si>
    <t>24.0 DOK</t>
  </si>
  <si>
    <t>Honor petugas pengolahan Survei Harga Kemahalan Konstruksi</t>
  </si>
  <si>
    <t>Honor petugas pengolahan Survei Harga Perdagangan Besar</t>
  </si>
  <si>
    <t>Honor petugas pengolahan Survei Harga Perdagangan Besar Mingguan</t>
  </si>
  <si>
    <t>Honor petugas pengolahan Survei Harga Produsen Identifikasi Komoditas Utama</t>
  </si>
  <si>
    <t>Honor petugas pengolahan Survei Harga Produsen Sektor Industri Pengolahan dan Sektor Pertambangan dan Penggalian (HP)</t>
  </si>
  <si>
    <t>Honor petugas pengolahan Survei Harga Produsen Sektor Jasa Gas (HPJ)</t>
  </si>
  <si>
    <t>Transport lokal petugas pemeriksaan Bill of Quantity kabupaten/kota</t>
  </si>
  <si>
    <t>1.0 O-K</t>
  </si>
  <si>
    <t>Transport Lokal Petugas Pemeriksaan Lapangan Survei Harga Produsen Identifikasi Komoditas Utama</t>
  </si>
  <si>
    <t>Transport lokal petugas pemeriksaan lapangan Survei Harga Produsen Sektor Industri Pengolahan dan Sektor Pertambangan dan Penggali</t>
  </si>
  <si>
    <t>Transport lokal petugas pemeriksaan lapangan Survei Harga Produsen Sektor Jasa Gas (HPJ)</t>
  </si>
  <si>
    <t>Transport lokal petugas pemeriksaan Survei Harga Kemahalan Konstruksi</t>
  </si>
  <si>
    <t>5.0 O-K</t>
  </si>
  <si>
    <t>Transport lokal petugas pemeriksaan Survei Harga Perdagangan Besar</t>
  </si>
  <si>
    <t>12.0 O-K</t>
  </si>
  <si>
    <t>Transport lokal petugas pemeriksaan Survei Harga Perdagangan Besar Mingguan</t>
  </si>
  <si>
    <t>7.0 O-K</t>
  </si>
  <si>
    <t>Transport lokal petugas pendataan lapangan Bill of Quantity kabupaten/kota</t>
  </si>
  <si>
    <t>Konsumsi pelatihan petugas Survei Harga Perdagangan Besar</t>
  </si>
  <si>
    <t>18.0 OK</t>
  </si>
  <si>
    <t>Konsumsi pelatihan survei harga kemahalan konstruksi</t>
  </si>
  <si>
    <t>12.0 OK</t>
  </si>
  <si>
    <t>Honor pengajar pelatihan petugas survei harga kemahalan konstruksi</t>
  </si>
  <si>
    <t>Honor pengajar pelatihan petugas Survei Harga Perdagangan Besar</t>
  </si>
  <si>
    <t>Pencetakan Kuesioner Survei Harga Produsen 2027</t>
  </si>
  <si>
    <t>639.0 LMBR</t>
  </si>
  <si>
    <t>pengadaan atk, kertas, dan bahan cetak kabupaten/kota</t>
  </si>
  <si>
    <t>3.0 Paket</t>
  </si>
  <si>
    <t>pengadaan komputer supplies kabupaten/kota</t>
  </si>
  <si>
    <t>Transport Lokal pelatihan survei harga kemahalan konstruksi</t>
  </si>
  <si>
    <t>Transport pelatihan petugas Survei Harga Perdagangan Besar</t>
  </si>
  <si>
    <t>14.0 OK</t>
  </si>
  <si>
    <t>paket data Survei Harga Perdagangan Besar</t>
  </si>
  <si>
    <t>Pengawasan lapangan Survei Harga Produsen dari kabupaten/kota ke kecamatan</t>
  </si>
  <si>
    <t>Pengawasan Survei Harga Perdagangan Besar dari kab/kota ke kecamatan</t>
  </si>
  <si>
    <t>2904</t>
  </si>
  <si>
    <t>Penyediaan dan Pengembangan Statistik Industri, Pertambangan dan Penggalian, Energi, dan Konstruksi</t>
  </si>
  <si>
    <t>2904.BMA</t>
  </si>
  <si>
    <t>2904.BMA.006</t>
  </si>
  <si>
    <t>PUBLIKASI/LAPORAN STATISTIK INDUSTRI, PERTAMBANGAN DAN PENGGALIAN, ENERGI, DAN KONSTRUKSI</t>
  </si>
  <si>
    <t>honor petugas pendataan lapangan listing survei imk tahunan</t>
  </si>
  <si>
    <t>29.0 DOK</t>
  </si>
  <si>
    <t>honor petugas pendataan lapangan listing survei imk triwulanan</t>
  </si>
  <si>
    <t>13.0 DOK</t>
  </si>
  <si>
    <t>honor petugas pendataan lapangan pemutakhiran direktori perusahaan awal (dpa)</t>
  </si>
  <si>
    <t>1.0 DOK</t>
  </si>
  <si>
    <t>honor petugas pendataan lapangan survei imk tahunan</t>
  </si>
  <si>
    <t>194.0 DOK</t>
  </si>
  <si>
    <t>honor petugas pendataan lapangan survei imk triwulanan</t>
  </si>
  <si>
    <t>246.0 DOK</t>
  </si>
  <si>
    <t>honor petugas pendataan lapangan survei imk triwulanan (vimk25 triwulan 4)</t>
  </si>
  <si>
    <t>33.0 DOK</t>
  </si>
  <si>
    <t>honor petugas pendataan lapangan survei perusahaan konstruksi tahunan</t>
  </si>
  <si>
    <t>14.0 DOK</t>
  </si>
  <si>
    <t>honor petugas pendataan lapangan survei perusahaan konstruksi triwulanan</t>
  </si>
  <si>
    <t>11.0 DOK</t>
  </si>
  <si>
    <t>honor petugas pendataan lapangan survei perusahaan tahunan air bersih</t>
  </si>
  <si>
    <t>honor petugas pendataan lapangan survei tahunan perusahaan industri manufaktur</t>
  </si>
  <si>
    <t>honor petugas pendataan lapangan survei tahunan usaha penggalian bahan industri dan konstruksi</t>
  </si>
  <si>
    <t>2.0 DOK</t>
  </si>
  <si>
    <t>honor petugas pendataan lapangan survei triwulanan perusahaan air bersih</t>
  </si>
  <si>
    <t>4.0 DOK</t>
  </si>
  <si>
    <t>honor petugas pendataan lapangan updating direktori perusahaan pertambangan dan energi</t>
  </si>
  <si>
    <t>honor petugas pengolahan survei imk tahunan</t>
  </si>
  <si>
    <t>honor petugas pengolahan survei perusahaan tahunan air bersih</t>
  </si>
  <si>
    <t>honor petugas pengolahan survei tahunan perusahaan industri manufaktur</t>
  </si>
  <si>
    <t>honor petugas pengolahan survei triwulanan perusahaan air bersih</t>
  </si>
  <si>
    <t>transport lokal petugas pemeriksaan lapangan listing survei imk tahunan</t>
  </si>
  <si>
    <t>4.0 OK</t>
  </si>
  <si>
    <t>transport lokal petugas pemeriksaan lapangan listing survei imk triwulanan</t>
  </si>
  <si>
    <t>transport lokal petugas pemeriksaan lapangan pemutakhiran direktori perusahaan awal (dpa)</t>
  </si>
  <si>
    <t>transport lokal petugas pemeriksaan lapangan survei imk tahunan</t>
  </si>
  <si>
    <t>transport lokal petugas pemeriksaan lapangan survei imk triwulanan</t>
  </si>
  <si>
    <t>transport lokal petugas pemeriksaan lapangan survei imk triwulanan (vimk25 triwulan 4)</t>
  </si>
  <si>
    <t>transport lokal petugas pemeriksaan lapangan survei perusahaan konstruksi tahunan</t>
  </si>
  <si>
    <t>transport lokal petugas pemeriksaan lapangan survei perusahaan konstruksi triwulanan</t>
  </si>
  <si>
    <t>transport lokal petugas pemeriksaan lapangan survei tahunan perusahaan industri manufaktur</t>
  </si>
  <si>
    <t>transport lokal petugas pemeriksaan lapangan survei tahunan perusahaan penggalian bahan industri dan konstruksi</t>
  </si>
  <si>
    <t>transport lokal petugas pemeriksaan lapangan survei triwulanan perusahaan air bersih</t>
  </si>
  <si>
    <t>transport lokal petugas pemeriksaan lapangan updating direktori perusahaan pertambangan dan energi</t>
  </si>
  <si>
    <t>transport lokal petugas pemeriksaan survei perusahaan tahunan air bersih</t>
  </si>
  <si>
    <t>konsumsi pelatihan petugas survei statistik pertambangan dan energi (1x makan  2x snack)</t>
  </si>
  <si>
    <t>perlengkapan pelatihan petugas survei statistik pertambangan dan energi</t>
  </si>
  <si>
    <t>6.0 SET</t>
  </si>
  <si>
    <t>honor pengajar pelatihan petugas survei statistik pertambangan dan energi</t>
  </si>
  <si>
    <t>pencetakan buku pedoman pencacah vimk26 tahunan</t>
  </si>
  <si>
    <t>1125.0 LMBR</t>
  </si>
  <si>
    <t>pencetakan kuesioner pencacahan vimk26 tahunan (vimk26-s2)</t>
  </si>
  <si>
    <t>1118.0 LMBR</t>
  </si>
  <si>
    <t>pencetakan kuesioner stpim - iia</t>
  </si>
  <si>
    <t>2.0 LMBR</t>
  </si>
  <si>
    <t>pencetakan kuesioner survei pertambangan dan energi</t>
  </si>
  <si>
    <t>25.0 LMBR</t>
  </si>
  <si>
    <t>pencetakan pedoman survei pertambangan dan energi</t>
  </si>
  <si>
    <t>15.0 LMBR</t>
  </si>
  <si>
    <t>pengadaan atk di kab/kota</t>
  </si>
  <si>
    <t>3.0 PAKET</t>
  </si>
  <si>
    <t>transport lokal pelatihan petugas survei statistik pertambangan dan energi</t>
  </si>
  <si>
    <t>biaya paket data listing survei imk tahunan</t>
  </si>
  <si>
    <t>11.0 OB</t>
  </si>
  <si>
    <t>biaya paket data pemutakhiran direktori perusahaan awal (dpa)</t>
  </si>
  <si>
    <t>biaya paket data pendataan lapangan listing survei imk triwulanan</t>
  </si>
  <si>
    <t>biaya paket data pendataan lapangan survei imk triwulanan</t>
  </si>
  <si>
    <t>10.0 OB</t>
  </si>
  <si>
    <t>biaya paket data pendataan lapangan survei imk triwulanan (vimk25 triwulan 4)</t>
  </si>
  <si>
    <t>3.0 OB</t>
  </si>
  <si>
    <t>biaya paket data pendataan lapangan survei perusahaan konstruksi tahunan</t>
  </si>
  <si>
    <t>biaya paket data pendataan lapangan survei perusahaan konstruksi triwulanan</t>
  </si>
  <si>
    <t>biaya paket data pendataan lapangan survei tahunan usaha penggalian bahan industri dan konstruksi</t>
  </si>
  <si>
    <t>biaya paket data pendataan lapangan updating direktori perusahaan pertambangan dan energi</t>
  </si>
  <si>
    <t>penambahan dan matching direktori perusahaan awal industri manufaktur ke instansi lain di kab/kota</t>
  </si>
  <si>
    <t>pengawasan dari kabupaten ke kecamatan</t>
  </si>
  <si>
    <t>3.0 OP</t>
  </si>
  <si>
    <t>transport lokal pengutipan direktori perusahaan konstruksi ke instansi/opd/asosiasi di bps kabupaten/kota</t>
  </si>
  <si>
    <t>2905</t>
  </si>
  <si>
    <t>Penyediaan dan Pengembangan Statistik Kependudukan dan Ketenagakerjaan</t>
  </si>
  <si>
    <t>2905.BMA</t>
  </si>
  <si>
    <t>2905.BMA.004</t>
  </si>
  <si>
    <t>PUBLIKASI/LAPORAN SURVEI ANGKATAN KERJA NASIONAL</t>
  </si>
  <si>
    <t>honor petugas pemeriksaan lapangan (Survei Angkatan Kerja Nasional agustus non organik)</t>
  </si>
  <si>
    <t>300.0 RUTA</t>
  </si>
  <si>
    <t>honor petugas pemeriksaan lapangan updating listing BS (Survei Angkatan Kerja Nasional agustus non organik)</t>
  </si>
  <si>
    <t>30.0 EA</t>
  </si>
  <si>
    <t>honor petugas pendataan lapangan (Survei Angkatan Kerja Nasional agustus)</t>
  </si>
  <si>
    <t>480.0 RUTA</t>
  </si>
  <si>
    <t>honor petugas pendataan lapangan (Survei Angkatan Kerja Nasional februari)</t>
  </si>
  <si>
    <t>120.0 RUTA</t>
  </si>
  <si>
    <t>honor petugas pendataan lapangan updating listing BS (Survei Angkatan Kerja Nasional agustus)</t>
  </si>
  <si>
    <t>48.0 EA</t>
  </si>
  <si>
    <t>honor petugas pendataan lapangan updating listing BS (Survei Angkatan Kerja Nasional februari)</t>
  </si>
  <si>
    <t>12.0 EA</t>
  </si>
  <si>
    <t>transport lokal petugas ke blok sensus (Survei Angkatan Kerja Nasional agustus)</t>
  </si>
  <si>
    <t>48.0 OK</t>
  </si>
  <si>
    <t>transport lokal petugas ke blok sensus (Survei Angkatan Kerja Nasional februari )</t>
  </si>
  <si>
    <t>transport lokal petugas pemeriksaan lapangan (Survei Angkatan Kerja Nasional agustus)</t>
  </si>
  <si>
    <t>11.0 OK</t>
  </si>
  <si>
    <t>transport lokal petugas pemeriksaan lapangan (Survei Angkatan Kerja Nasional februari )</t>
  </si>
  <si>
    <t>transport lokal petugas pemeriksaan lapangan updating listing (Survei Angkatan Kerja Nasional agustus)</t>
  </si>
  <si>
    <t>transport lokal petugas pemeriksaan lapangan updating listing (Survei Angkatan Kerja Nasional februari )</t>
  </si>
  <si>
    <t>paket data pelatihan petugas agustus</t>
  </si>
  <si>
    <t>15.0 OB</t>
  </si>
  <si>
    <t>paket data pelatihan petugas februari</t>
  </si>
  <si>
    <t>perlengkapan petugas Survei Angkatan Kerja Nasional agustus</t>
  </si>
  <si>
    <t>24.0 SET</t>
  </si>
  <si>
    <t>perlengkapan petugas Survei Angkatan Kerja Nasional februari</t>
  </si>
  <si>
    <t>9.0 SET</t>
  </si>
  <si>
    <t>konsumsi pelatihan petugas Survei Angkatan Kerja Nasional februari</t>
  </si>
  <si>
    <t>10.0 OK</t>
  </si>
  <si>
    <t>honor pengajar pelatihan petugas Survei Angkatan Kerja Nasional agustus</t>
  </si>
  <si>
    <t>honor pengajar pelatihan petugas Survei Angkatan Kerja Nasional februari</t>
  </si>
  <si>
    <t>pencetakan dokumen pelatihan petugas Survei Angkatan Kerja Nasional agustus</t>
  </si>
  <si>
    <t>6155.0 LMBR</t>
  </si>
  <si>
    <t>pencetakan dokumen pelatihan petugas Survei Angkatan Kerja Nasional februari</t>
  </si>
  <si>
    <t>2322.0 LMBR</t>
  </si>
  <si>
    <t>pengadaan ATK kabupaten/kota</t>
  </si>
  <si>
    <t>4.0 PAKET</t>
  </si>
  <si>
    <t>pengadaan computer supllies kabupaten/kota</t>
  </si>
  <si>
    <t>pelatihan petugas Survei Angkatan Kerja Nasional februari</t>
  </si>
  <si>
    <t>pelatihan petugas Survei Angkatan Kerja Nasional agustus</t>
  </si>
  <si>
    <t>15.0 OP</t>
  </si>
  <si>
    <t>perjalanan pelatihan petugas Survei Angkatan Kerja Nasional agustus</t>
  </si>
  <si>
    <t>paket data pengumpulan data Survei Angkatan Kerja Nasional agustus</t>
  </si>
  <si>
    <t>paket data pengumpulan data Survei Angkatan Kerja Nasional februari</t>
  </si>
  <si>
    <t>pengawasan kab/kota ke kecamatan Survei Angkatan Kerja Nasional</t>
  </si>
  <si>
    <t>5.0 OP</t>
  </si>
  <si>
    <t>2906</t>
  </si>
  <si>
    <t>Penyediaan dan Pengembangan Statistik Kesejahteraan Rakyat</t>
  </si>
  <si>
    <t>2906.BMA</t>
  </si>
  <si>
    <t>7.0 dokumen, Peta, Data</t>
  </si>
  <si>
    <t>2906.BMA.005</t>
  </si>
  <si>
    <t>PUBLIKASI/LAPORAN DATA TUNGGAL SOSIAL DAN EKONOMI NASIONAL</t>
  </si>
  <si>
    <t>Pengadaan ATK</t>
  </si>
  <si>
    <t>Computer supplies</t>
  </si>
  <si>
    <t>Konsumsi rapat DTSEN 2026 di kab/kota</t>
  </si>
  <si>
    <t>20.0 OK</t>
  </si>
  <si>
    <t>Perjalanan dinas dari BPS kab/kota ke kecamatan DTSEN 2026</t>
  </si>
  <si>
    <t>Transport lokal dalam rangka uji petik DTSEN 2026</t>
  </si>
  <si>
    <t>2906.BMA.006</t>
  </si>
  <si>
    <t>PUBLIKASI/LAPORAN SURVEI SOSIAL EKONOMI NASIONAL</t>
  </si>
  <si>
    <t>6.0 dokumen</t>
  </si>
  <si>
    <t>honor petugas pemeriksaan lapangan Survei Sosial Ekonomi Nasional (susenas maret)</t>
  </si>
  <si>
    <t>240.0 RUTA</t>
  </si>
  <si>
    <t>honor petugas pemeriksaan updating listing (susenas maret)</t>
  </si>
  <si>
    <t>24.0 EA</t>
  </si>
  <si>
    <t>honor petugas pendataan lapangan Survei Ekonomi Rumah Tangga Triwulanan (Seruti)</t>
  </si>
  <si>
    <t>200.0 RUTA</t>
  </si>
  <si>
    <t>honor petugas pendataan lapangan Survei Ekonomi Rumah Tangga Triwulanan (Seruti) terintegrasi Susenas</t>
  </si>
  <si>
    <t>honor petugas pendataan lapangan Survei Sosial Ekonomi Nasional (susenas maret)</t>
  </si>
  <si>
    <t>580.0 RUTA</t>
  </si>
  <si>
    <t>honor petugas pendataan lapangan Survei Sosial Ekonomi Nasional (susenas september)</t>
  </si>
  <si>
    <t>100.0 RUTA</t>
  </si>
  <si>
    <t>honor petugas pendataan lapangan updating listing (susenas maret)</t>
  </si>
  <si>
    <t>58.0 EA</t>
  </si>
  <si>
    <t>honor petugas pendataan lapangan updating listing (susenas september)</t>
  </si>
  <si>
    <t>10.0 EA</t>
  </si>
  <si>
    <t>honor petugas pengolahan Survei Ekonomi Rumah Tangga Triwulanan (Seruti)</t>
  </si>
  <si>
    <t>honor petugas pengolahan Survei Ekonomi Rumah Tangga Triwulanan (Seruti) terintegrasi Susenas</t>
  </si>
  <si>
    <t>honor petugas pengolahan Survei Sosial Ekonomi Nasional (susenas maret)</t>
  </si>
  <si>
    <t>honor petugas pengolahan Survei Sosial Ekonomi Nasional (susenas september)</t>
  </si>
  <si>
    <t>honor petugas pengolahan updating listing (susenas maret)</t>
  </si>
  <si>
    <t>58.0 DOK</t>
  </si>
  <si>
    <t>honor petugas pengolahan updating listing (susenas september)</t>
  </si>
  <si>
    <t>10.0 DOK</t>
  </si>
  <si>
    <t>Pemeriksaan Pendataan Seruti Tw 1</t>
  </si>
  <si>
    <t>140.0 DOK</t>
  </si>
  <si>
    <t>transport lokal pencacahan rentang harga (susenas maret)</t>
  </si>
  <si>
    <t>43.0 OK</t>
  </si>
  <si>
    <t>transport lokal pencacahan rentang harga susenas september</t>
  </si>
  <si>
    <t>transport lokal petugas pemeriksaan lapangan (seruti triwulan 1 dan 3)</t>
  </si>
  <si>
    <t>transport lokal petugas pemeriksaan lapangan (seruti triwulan 2 dan 4)</t>
  </si>
  <si>
    <t>28.0 OK</t>
  </si>
  <si>
    <t>transport lokal petugas pemeriksaan lapangan (susenas maret organik)</t>
  </si>
  <si>
    <t>46.0 OK</t>
  </si>
  <si>
    <t>transport lokal petugas pemeriksaan lapangan (susenas september organik)</t>
  </si>
  <si>
    <t>transport lokal petugas pemeriksaan lapangan updating listing (susenas maret organik)</t>
  </si>
  <si>
    <t>transport lokal petugas pemeriksaan lapangan updating listing (susenas september organik)</t>
  </si>
  <si>
    <t>transport lokal petugas pendataan lapangan (susenas maret)</t>
  </si>
  <si>
    <t>17.0 OK</t>
  </si>
  <si>
    <t>transport lokal petugas pendataan susenas september</t>
  </si>
  <si>
    <t>Transpor lokal Pemeriksaan Susenas Maret (non organik)</t>
  </si>
  <si>
    <t>13.0 OK</t>
  </si>
  <si>
    <t>paket data pelatihan petugas susenas september</t>
  </si>
  <si>
    <t>perlengkapan pelatihan petugas susenas september</t>
  </si>
  <si>
    <t>26.0 SET</t>
  </si>
  <si>
    <t>perlengkapan petugas pelatihan petugas susenas maret</t>
  </si>
  <si>
    <t>51.0 SET</t>
  </si>
  <si>
    <t>spanduk pelatihan petugas susenas maret</t>
  </si>
  <si>
    <t>3.0 Mater</t>
  </si>
  <si>
    <t>honor pengajar pelatihan petugas susenas maret</t>
  </si>
  <si>
    <t>45.0 OJP</t>
  </si>
  <si>
    <t>honor pengajar pelatihan petugas susenas september</t>
  </si>
  <si>
    <t>27.0 OJP</t>
  </si>
  <si>
    <t>pencetakan buku pedoman seruti (pelatihan petugas susenas maret)</t>
  </si>
  <si>
    <t>880.0 LMBR</t>
  </si>
  <si>
    <t>pencetakan buku pedoman Susenas maret 2027</t>
  </si>
  <si>
    <t>10320.0 LMBR</t>
  </si>
  <si>
    <t>pencetakan buku pedoman Susenas september</t>
  </si>
  <si>
    <t>3251.0 LMBR</t>
  </si>
  <si>
    <t>pencetakan kuesioner lapangan Susenas maret 2027</t>
  </si>
  <si>
    <t>22330.0 LMBR</t>
  </si>
  <si>
    <t>pencetakan kuesioner lapangan Susenas september</t>
  </si>
  <si>
    <t>3850.0 LMBR</t>
  </si>
  <si>
    <t>pencetakan kuesioner pelatihan petugas Susenas maret 2027</t>
  </si>
  <si>
    <t>1514.0 LMBR</t>
  </si>
  <si>
    <t>pencetakan kuesioner pelatihan petugas Susenas september</t>
  </si>
  <si>
    <t>402.0 LMBR</t>
  </si>
  <si>
    <t>pencetakan kuesioner vseruti26.inti (pelatihan petugas susenas maret)</t>
  </si>
  <si>
    <t>44.0 LMBR</t>
  </si>
  <si>
    <t>pencetakan vseruti26.inti (pelaksanaan lapangan seruti triwulan 2, 3, dan 4)</t>
  </si>
  <si>
    <t>1760.0 LMBR</t>
  </si>
  <si>
    <t>pencetakan vseruti26.mak (pelaksanaan lapangan seruti triwulan 2 dan 4)</t>
  </si>
  <si>
    <t>3520.0 LMBR</t>
  </si>
  <si>
    <t>pencetakan vseruti27.inti (pelaksanaan lapangan seruti triwulan 1)</t>
  </si>
  <si>
    <t>440.0 LMBR</t>
  </si>
  <si>
    <t>transport responden role playing pelatihan petugas susenas maret</t>
  </si>
  <si>
    <t>transport responden role playing pelatihan petugas susenas september</t>
  </si>
  <si>
    <t>pelatihan petugas susenas maret</t>
  </si>
  <si>
    <t>129.0 OP</t>
  </si>
  <si>
    <t>pelatihan petugas susenas september</t>
  </si>
  <si>
    <t>58.0 OP</t>
  </si>
  <si>
    <t>pengawasan kab/kota ke kecamatan dalam rangka seruti</t>
  </si>
  <si>
    <t>pengawasan kab/kota ke kecamatan dalam rangka susenas maret</t>
  </si>
  <si>
    <t>pengawasan lapangan dari bps kab/kota ke kec susenas september</t>
  </si>
  <si>
    <t>2907</t>
  </si>
  <si>
    <t>Penyediaan dan Pengembangan Statistik Ketahanan Sosial</t>
  </si>
  <si>
    <t>2907.BMA</t>
  </si>
  <si>
    <t>2907.BMA.006</t>
  </si>
  <si>
    <t>PUBLIKASI/LAPORAN STATISTIK KETAHANAN SOSIAL</t>
  </si>
  <si>
    <t>pengadaan atk, kertas dan bahan cetak bps kabupaten/kota</t>
  </si>
  <si>
    <t>transport lokal BPS kab/kota</t>
  </si>
  <si>
    <t>2907.BMA.008</t>
  </si>
  <si>
    <t>PUBLIKASI/LAPORAN PENDATAAN POTENSI DESA</t>
  </si>
  <si>
    <t>Honor petugas pendataan lapangan</t>
  </si>
  <si>
    <t>Transport petugas pemeriksaan lapangan desa</t>
  </si>
  <si>
    <t>Transport petugas pendataan lapangan desa</t>
  </si>
  <si>
    <t>Perlengkapan Fullday pelatihan petugas</t>
  </si>
  <si>
    <t>3.0 SET</t>
  </si>
  <si>
    <t>Honor Pengajar Fullday pelatihan petugas</t>
  </si>
  <si>
    <t>Paket Meeting Fullday pelatihan petugas</t>
  </si>
  <si>
    <t>Perjalanan Fullday pelatihan petugas</t>
  </si>
  <si>
    <t>Paket Data Petugas Lapangan</t>
  </si>
  <si>
    <t>Pengawasan kabupaten/kota ke desa</t>
  </si>
  <si>
    <t>2907.UBB</t>
  </si>
  <si>
    <t>Fasilitasi dan Pembinaan Pemerintah Desa[Base Line]</t>
  </si>
  <si>
    <t>4.0 Desa, DesaKelurahan</t>
  </si>
  <si>
    <t>2907.UBB.006</t>
  </si>
  <si>
    <t>PEMBINAAN DESA CINTA STATISTIK</t>
  </si>
  <si>
    <t>4.0 Desa/Kelurahan</t>
  </si>
  <si>
    <t>Biaya cetak spanduk dalam rangka sosialisasi Desa Cantik di Kab/Kota</t>
  </si>
  <si>
    <t>2.0 SET</t>
  </si>
  <si>
    <t>Konsumsi Desa Cantik</t>
  </si>
  <si>
    <t>30.0 SET</t>
  </si>
  <si>
    <t>Honorarium Narasumber (Pejabat Eselon II)</t>
  </si>
  <si>
    <t>Honorarium Narasumber (Pejabat Eselon III)</t>
  </si>
  <si>
    <t>Perjalanan Pengawasan/Pendampingan BPS Kabkota dalam rangka Desa cantik</t>
  </si>
  <si>
    <t>054</t>
  </si>
  <si>
    <t>DISEMINASI DAN EVALUASI</t>
  </si>
  <si>
    <t>Konsumsi evaluasi desa cantik</t>
  </si>
  <si>
    <t>22.0 OK</t>
  </si>
  <si>
    <t>524111</t>
  </si>
  <si>
    <t>Belanja Perjalanan Dinas Biasa</t>
  </si>
  <si>
    <t>Perjalanan peserta dalam rangka evaluasi desa cantik</t>
  </si>
  <si>
    <t>22.0 OP</t>
  </si>
  <si>
    <t>2908</t>
  </si>
  <si>
    <t>Penyediaan dan Pengembangan Statistik Keuangan, Teknologi Informasi, dan Pariwisata</t>
  </si>
  <si>
    <t>2908.BMA</t>
  </si>
  <si>
    <t>2908.BMA.004</t>
  </si>
  <si>
    <t>PUBLIKASI/LAPORAN STATISTIK KEUANGAN, TEKNOLOGI INFORMASI, DAN PARIWISATA</t>
  </si>
  <si>
    <t>Honor Petugas Pendataan Lapangan Survei Lembaga Keuangan - Koperasi Simpan Pinjam</t>
  </si>
  <si>
    <t>14.0 Dok</t>
  </si>
  <si>
    <t>Honor Petugas Pendataan Lapangan Survei Lembaga Keuangan - Pedagang Valuta Asing</t>
  </si>
  <si>
    <t>1.0 Dok</t>
  </si>
  <si>
    <t>Honor Petugas Pendataan Lapangan Survei Statistik Keuangan BUMD</t>
  </si>
  <si>
    <t>Honor Petugas Pendataan Lapangan Survei Usaha/Perusahaan Daya Tarik Wisata</t>
  </si>
  <si>
    <t>Honor Petugas Pendataan Lapangan Survei Usaha/Perusahaan Penyedia Jasa Akomodasi Bulanan</t>
  </si>
  <si>
    <t>60.0 Dok</t>
  </si>
  <si>
    <t>Honor Petugas Pendataan Lapangan Survei Usaha/Perusahaan Penyedia Jasa Akomodasi Tahunan</t>
  </si>
  <si>
    <t>15.0 Dok</t>
  </si>
  <si>
    <t>Honor Petugas Pengolahan Survei Lembaga Keuangan - Koperasi Simpan Pinjam</t>
  </si>
  <si>
    <t>Honor Petugas Pengolahan Survei Lembaga Keuangan - Pedagang Valuta Asing</t>
  </si>
  <si>
    <t>Honor Petugas Pengolahan Survei Statistik Keuangan BUMD</t>
  </si>
  <si>
    <t>Transport lokal Petugas Pemeriksaan Lapangan Survei Lembaga Keuangan - Koperasi Simpan Pinjam</t>
  </si>
  <si>
    <t>Transport lokal Petugas Pemeriksaan Lapangan Survei Lembaga Keuangan - Pedagang Valuta Asing</t>
  </si>
  <si>
    <t>Transport lokal Petugas Pemeriksaan Lapangan Survei Statistik Keuangan BUMD</t>
  </si>
  <si>
    <t>Transport Lokal Petugas Pemeriksaan Lapangan Survei Usaha/Perusahaan Daya Tarik Wisata</t>
  </si>
  <si>
    <t>Transport Lokal Petugas Pemeriksaan Lapangan Survei Usaha/Perusahaan Penyedia Jasa Akomodasi Bulanan</t>
  </si>
  <si>
    <t>Transport Lokal Petugas Pemeriksaan Lapangan Survei Usaha/Perusahaan Penyedia Jasa Akomodasi Tahunan</t>
  </si>
  <si>
    <t>Konsumsi Pelatihan Petugas Survei Bidang Jasa Pariwisata 2026</t>
  </si>
  <si>
    <t>Perlengkapan Pelatihan Petugas Survei Bidang Jasa Pariwisata 2026</t>
  </si>
  <si>
    <t>Paket Data Pelatihan Petugas Survei Bidang Jasa Pariwisata 2026</t>
  </si>
  <si>
    <t>2.0 Paket</t>
  </si>
  <si>
    <t>Honor Pengajar Pelatihan Petugas Survei Bidang Jasa Pariwisata 2026</t>
  </si>
  <si>
    <t>Pencetakan kuesioner SLK Koperasi Simpan Pinjam</t>
  </si>
  <si>
    <t>225.0 Lmbr</t>
  </si>
  <si>
    <t>Pencetakan kuesioner SLK Pedagang Valuta Asing</t>
  </si>
  <si>
    <t>14.0 Lmbr</t>
  </si>
  <si>
    <t>Pencetakan Kuesioner Survei BUMD</t>
  </si>
  <si>
    <t>Pengadaan komputer supplies Kab/Kota</t>
  </si>
  <si>
    <t>Transport Lokal Pelatihan Petugas Survei Bidang Jasa Pariwisata 2026</t>
  </si>
  <si>
    <t>Biaya pulsa petugas Survei Bidang Jasa Pariwisata</t>
  </si>
  <si>
    <t>2909</t>
  </si>
  <si>
    <t>Penyediaan dan Pengembangan Statistik Peternakan, Perikanan, dan Kehutanan</t>
  </si>
  <si>
    <t>2909.BMA</t>
  </si>
  <si>
    <t>2909.BMA.005</t>
  </si>
  <si>
    <t xml:space="preserve">PUBLIKASI/LAPORAN STATISTIK PETERNAKAN, PERIKANAN, DAN KEHUTANAN </t>
  </si>
  <si>
    <t>honor petugas pendataan lapangan laporan pemotongan ternak bulanan</t>
  </si>
  <si>
    <t>honor petugas pendataan lapangan listing survei kesejahteraan petani (skp)</t>
  </si>
  <si>
    <t>honor petugas pendataan lapangan survei kesejahteraan petani (skp)</t>
  </si>
  <si>
    <t>100.0 DOK</t>
  </si>
  <si>
    <t>transport lokal petugas pemeriksaan lapangan laporan pemotongan ternak bulanan</t>
  </si>
  <si>
    <t>transport lokal petugas pemeriksaan lapangan listing survei kesejahteraan petani (skp)</t>
  </si>
  <si>
    <t>transport lokal petugas pemeriksaan lapangan survei kesejahteraan petani (skp)</t>
  </si>
  <si>
    <t>biaya konsumsi pelatihan petugas survei kesejahteraan petani</t>
  </si>
  <si>
    <t>perlengkapan pelatihan petugas survei kesejahteraan petani</t>
  </si>
  <si>
    <t>honor pengajar pelatihan petugas survei kesejahteraan petani</t>
  </si>
  <si>
    <t>pencetakan buku pedoman survei kesejahteraan petani</t>
  </si>
  <si>
    <t>781.0 LMBR</t>
  </si>
  <si>
    <t>pencetakan kuesioner statistik peternakan</t>
  </si>
  <si>
    <t>34.0 LMBR</t>
  </si>
  <si>
    <t>2.0 PAKET</t>
  </si>
  <si>
    <t>transport pelatihan petugas survei kesejahteraan petani</t>
  </si>
  <si>
    <t>biaya paket data pengumpulan data laporan pemotongan ternak bulanan</t>
  </si>
  <si>
    <t>2910</t>
  </si>
  <si>
    <t>Penyediaan dan Pengembangan Statistik Tanaman Pangan, Hortikultura, dan Perkebunan</t>
  </si>
  <si>
    <t>2910.BMA</t>
  </si>
  <si>
    <t>4.0 dokumen, Peta, Data</t>
  </si>
  <si>
    <t>2910.BMA.007</t>
  </si>
  <si>
    <t>PUBLIKASI/ LAPORAN STATISTIK TANAMAN PANGAN</t>
  </si>
  <si>
    <t>honor petugas pendataan lapangan kerangka sampel area (ksa) jagung</t>
  </si>
  <si>
    <t>48.0 SGMN</t>
  </si>
  <si>
    <t>honor petugas pendataan lapangan kerangka sampel area (ksa) padi</t>
  </si>
  <si>
    <t>168.0 SGMN</t>
  </si>
  <si>
    <t>honor petugas pendataan lapangan survei pertanian tanaman pangan/ubinan padi</t>
  </si>
  <si>
    <t>49.0 DOK</t>
  </si>
  <si>
    <t>honor petugas pendataan lapangan survei pertanian tanaman pangan/ubinan palawija</t>
  </si>
  <si>
    <t>32.0 DOK</t>
  </si>
  <si>
    <t>honor petugas pendataan lapangan updating listing blok sensus survei pertanian tanaman pangan/ubinan palawija</t>
  </si>
  <si>
    <t>11.0 EA</t>
  </si>
  <si>
    <t>honor petugas pengolahan survei pertanian tanaman pangan/ubinan padi</t>
  </si>
  <si>
    <t>honor petugas pengolahan survei pertanian tanaman pangan/ubinan palawija</t>
  </si>
  <si>
    <t>honor petugas pengolahan updating listing blok sensus survei pertanian tanaman pangan/ubinan palawija</t>
  </si>
  <si>
    <t>transport lokal petugas pemeriksaan lapangan data luas panen setahun/sp</t>
  </si>
  <si>
    <t>transport lokal petugas pemeriksaan lapangan kerangka sampel area (ksa) jagung</t>
  </si>
  <si>
    <t>transport lokal petugas pemeriksaan lapangan kerangka sampel area (ksa) padi</t>
  </si>
  <si>
    <t>transport lokal petugas pemeriksaan lapangan survei pertanian tanaman pangan/ubinan padi</t>
  </si>
  <si>
    <t>transport lokal petugas pemeriksaan lapangan survei pertanian tanaman pangan/ubinan palawija</t>
  </si>
  <si>
    <t>transport lokal petugas pemeriksaan lapangan updating listing blok sensus survei pertanian tanaman pangan/ubinan palawija</t>
  </si>
  <si>
    <t>transport lokal petugas pendataan lapangan data luas panen setahun/sp</t>
  </si>
  <si>
    <t>transport lokal petugas pengolahan data luas panen setahun/sp</t>
  </si>
  <si>
    <t>Persiapan</t>
  </si>
  <si>
    <t>konsumsi pelatihan petugas pendataan ksa (1x makan  2x snack)</t>
  </si>
  <si>
    <t>perlengkapan pelatihan petugas pendataan ksa</t>
  </si>
  <si>
    <t>honor pengajar pelatihan petugas pendataan ksa</t>
  </si>
  <si>
    <t>pencetakan daftar sp dan sub-s</t>
  </si>
  <si>
    <t>243.0 LMBR</t>
  </si>
  <si>
    <t>transport lokal pelatihan petugas pendataan ksa</t>
  </si>
  <si>
    <t>Pengumpulan Data</t>
  </si>
  <si>
    <t>biaya paket data pengumpulan data kerangka sampel area (ksa) jagung</t>
  </si>
  <si>
    <t>9.0 OB</t>
  </si>
  <si>
    <t>biaya paket data pengumpulan data kerangka sampel area (ksa) padi</t>
  </si>
  <si>
    <t>41.0 OB</t>
  </si>
  <si>
    <t>biaya penggantian biaya responden survei pertanian tanaman pangan/ubinan padi</t>
  </si>
  <si>
    <t>49.0 RESP</t>
  </si>
  <si>
    <t>biaya penggantian biaya responden survei pertanian tanaman pangan/ubinan palawija</t>
  </si>
  <si>
    <t>32.0 RESP</t>
  </si>
  <si>
    <t>2910.BMA.008</t>
  </si>
  <si>
    <t>PUBLIKASI/LAPORAN STATISTIK HORTIKULTURA DAN PERKEBUNAN</t>
  </si>
  <si>
    <t>honor petugas pendataan lapangan survei produksi hortikultura (UTL)</t>
  </si>
  <si>
    <t>6.0 DOK</t>
  </si>
  <si>
    <t>honor petugas pendataan lapangan survei usaha hortikultura lainnya</t>
  </si>
  <si>
    <t>7.0 DOK</t>
  </si>
  <si>
    <t>honor petugas pendataan lapangan survei produksi hortikultura (utp)</t>
  </si>
  <si>
    <t>15.0 DOK</t>
  </si>
  <si>
    <t>honor petugas pendataan lapangan listing survei produksi hortikultura (UTP)</t>
  </si>
  <si>
    <t>2.0 EA</t>
  </si>
  <si>
    <t>honor petugas pendataan lapangan updating direktori perusahaan pertanian (dpp) dan direktori usaha pertanian lainnya (dutl)</t>
  </si>
  <si>
    <t>21.0 DOK</t>
  </si>
  <si>
    <t>transport lokal petugas pemeriksaan lapangan survei indeks produksi hortikultura</t>
  </si>
  <si>
    <t>transport lokal petugas pemeriksaan lapangan survei usaha hortikultura lainnya</t>
  </si>
  <si>
    <t>transport lokal petugas pemeriksaan lapangan updating direktori perusahaan pertanian (dpp) dan direktori usaha pertanian lainnya (</t>
  </si>
  <si>
    <t>transport lokal petugas pendataan lapangan updating direktori perusahaan pertanian (dpp) dan direktori usaha pertanian lainnya (du</t>
  </si>
  <si>
    <t>biaya paket data pelatihan petugas survei indeks produksi hortikultura</t>
  </si>
  <si>
    <t>biaya paket data pelatihan petugas survei perkebunan tahunan dan updating direktori upb dan utl</t>
  </si>
  <si>
    <t>konsumsi pelatihan petugas survei indeks produksi hortikultura (2 snack  1 makan)</t>
  </si>
  <si>
    <t>konsumsi pelatihan petugas survei perkebunan tahunan dan updating direktori upb dan utl (2 snack  1 makan)</t>
  </si>
  <si>
    <t>perlengkapan pelatihan petugas survei indeks produksi hortikultura</t>
  </si>
  <si>
    <t>7.0 SET</t>
  </si>
  <si>
    <t>perlengkapan pelatihan petugas survei perkebunan tahunan dan updating direktori upb dan utl</t>
  </si>
  <si>
    <t>honor pengajar pelatihan petugas survei indeks produksi hortikultura</t>
  </si>
  <si>
    <t>16.0 OJP</t>
  </si>
  <si>
    <t>honor pengajar pelatihan petugas survei perkebunan tahunan dan updating direktori upb dan utl</t>
  </si>
  <si>
    <t>pencetakan dokumen survei perkebunan</t>
  </si>
  <si>
    <t>158.0 LMBR</t>
  </si>
  <si>
    <t>transport lokal pelatihan petugas survei indeks produksi hortikultura</t>
  </si>
  <si>
    <t>transport lokal pelatihan petugas survei perkebunan tahunan dan updating direktori upb dan utl</t>
  </si>
  <si>
    <t>biaya paket data pengumpulan data survei indeks produksi hortikultura</t>
  </si>
  <si>
    <t>biaya paket data pengumpulan data survei usaha hortikultura lainnya</t>
  </si>
  <si>
    <t>biaya paket data pengumpulan data updating direktori perusahaan pertanian (dpp) dan direktori usaha pertanian lainnya (dutl)</t>
  </si>
  <si>
    <t>054.01.WA</t>
  </si>
  <si>
    <t>Program Dukungan Manajemen</t>
  </si>
  <si>
    <t>2886</t>
  </si>
  <si>
    <t>Dukungan Manajemen dan Pelaksanaan Tugas Teknis Lainnya BPS Provinsi</t>
  </si>
  <si>
    <t>2886.EBA</t>
  </si>
  <si>
    <t>Layanan Dukungan Manajemen Internal[Base Line]</t>
  </si>
  <si>
    <t>4.0 Layanan, Laporan, Dokumen, Rekomendasi, Unit</t>
  </si>
  <si>
    <t>2886.EBA.956</t>
  </si>
  <si>
    <t>Layanan BMN</t>
  </si>
  <si>
    <t>1.0 Layanan</t>
  </si>
  <si>
    <t>Tanpa Komponen</t>
  </si>
  <si>
    <t>Perjalanan dalam rangka administrasi BMN</t>
  </si>
  <si>
    <t>2886.EBA.962</t>
  </si>
  <si>
    <t>Layanan Umum</t>
  </si>
  <si>
    <t>Konsumsi Rapat</t>
  </si>
  <si>
    <t>54.0 OK</t>
  </si>
  <si>
    <t>2886.EBA.994</t>
  </si>
  <si>
    <t>Layanan Perkantoran</t>
  </si>
  <si>
    <t>2.0 Layanan</t>
  </si>
  <si>
    <t>001</t>
  </si>
  <si>
    <t>Gaji dan Tunjangan</t>
  </si>
  <si>
    <t>511111</t>
  </si>
  <si>
    <t>Belanja Gaji Pokok PNS</t>
  </si>
  <si>
    <t>1.0 THN</t>
  </si>
  <si>
    <t>Belanja Gaji Pokok PNS (13)</t>
  </si>
  <si>
    <t>1.0 BLN</t>
  </si>
  <si>
    <t>Belanja Gaji Pokok PNS (14)</t>
  </si>
  <si>
    <t>511119</t>
  </si>
  <si>
    <t>Belanja Pembulatan Gaji PNS</t>
  </si>
  <si>
    <t>Belanja Pembulatan Gaji PNS (13)</t>
  </si>
  <si>
    <t>Belanja Pembulatan Gaji PNS (14)</t>
  </si>
  <si>
    <t>511121</t>
  </si>
  <si>
    <t>Belanja Tunj. Suami/Istri PNS</t>
  </si>
  <si>
    <t>Tunj.Suami/Istri PNS</t>
  </si>
  <si>
    <t>Tunj.Suami/Istri PNS (13)</t>
  </si>
  <si>
    <t>Tunj.Suami/Istri PNS (14)</t>
  </si>
  <si>
    <t>511122</t>
  </si>
  <si>
    <t>Belanja Tunj. Anak PNS</t>
  </si>
  <si>
    <t>Tunj. Anak PNS</t>
  </si>
  <si>
    <t>Tunj. Anak PNS (13)</t>
  </si>
  <si>
    <t>Tunj. Anak PNS (14)</t>
  </si>
  <si>
    <t>511123</t>
  </si>
  <si>
    <t>Belanja Tunj. Struktural PNS</t>
  </si>
  <si>
    <t>Tunj.Struktural PNS</t>
  </si>
  <si>
    <t>Tunj.Struktural PNS (13)</t>
  </si>
  <si>
    <t>Tunj.Struktural PNS (14)</t>
  </si>
  <si>
    <t>511124</t>
  </si>
  <si>
    <t>Belanja Tunj. Fungsional PNS</t>
  </si>
  <si>
    <t>Tunj.Fungsional PNS</t>
  </si>
  <si>
    <t>Tunj.Fungsional PNS (13)</t>
  </si>
  <si>
    <t>Tunj.Fungsional PNS (14)</t>
  </si>
  <si>
    <t>511125</t>
  </si>
  <si>
    <t>Belanja Tunj. PPh PNS</t>
  </si>
  <si>
    <t>Tunj. PPh PNS</t>
  </si>
  <si>
    <t>Tunj. PPh PNS (13)</t>
  </si>
  <si>
    <t>Tunj. PPh PNS (14)</t>
  </si>
  <si>
    <t>tunj. pph tunjangan kinerja</t>
  </si>
  <si>
    <t>511126</t>
  </si>
  <si>
    <t>Belanja Tunj. Beras PNS</t>
  </si>
  <si>
    <t>Tunj. Beras PNS</t>
  </si>
  <si>
    <t>511129</t>
  </si>
  <si>
    <t>Belanja Uang Makan PNS</t>
  </si>
  <si>
    <t>Uang Makan PNS</t>
  </si>
  <si>
    <t>511151</t>
  </si>
  <si>
    <t>Belanja Tunjangan Umum PNS</t>
  </si>
  <si>
    <t>Tunjangan Umum PNS</t>
  </si>
  <si>
    <t>Tunjangan Umum PNS (13)</t>
  </si>
  <si>
    <t>Tunjangan Umum PNS (14)</t>
  </si>
  <si>
    <t>511611</t>
  </si>
  <si>
    <t>Belanja Gaji Pokok PPPK</t>
  </si>
  <si>
    <t>Belanja Gaji Pokok PPPK (13)</t>
  </si>
  <si>
    <t>Belanja Gaji Pokok PPPK (14)</t>
  </si>
  <si>
    <t>511619</t>
  </si>
  <si>
    <t>Belanja Pembulatan Gaji PPPK</t>
  </si>
  <si>
    <t>Belanja Pembulatan Gaji PPPK (13)</t>
  </si>
  <si>
    <t>Belanja Pembulatan Gaji PPPK (14)</t>
  </si>
  <si>
    <t>511621</t>
  </si>
  <si>
    <t>Belanja Tunjangan Suami/Istri PPPK</t>
  </si>
  <si>
    <t>Belanja Tunjangan Suami/Istri PPPK (13)</t>
  </si>
  <si>
    <t>Belanja Tunjangan Suami/Istri PPPK (14)</t>
  </si>
  <si>
    <t>511622</t>
  </si>
  <si>
    <t>Belanja Tunjangan Anak PPPK</t>
  </si>
  <si>
    <t>Belanja Tunjangan Anak PPPK (13)</t>
  </si>
  <si>
    <t>Belanja Tunjangan Anak PPPK (14)</t>
  </si>
  <si>
    <t>511625</t>
  </si>
  <si>
    <t>Belanja Tunjangan Beras PPPK</t>
  </si>
  <si>
    <t>Belanja Tunjangan Beras PPPK (13)</t>
  </si>
  <si>
    <t>Belanja Tunjangan Beras PPPK (14)</t>
  </si>
  <si>
    <t>511628</t>
  </si>
  <si>
    <t>Belanja Uang Makan PPPK</t>
  </si>
  <si>
    <t>511633</t>
  </si>
  <si>
    <t>Belanja Tunjangan Umum PPPK</t>
  </si>
  <si>
    <t>Belanja Tunjangan Umum PPPK (13)</t>
  </si>
  <si>
    <t>Belanja Tunjangan Umum PPPK (14)</t>
  </si>
  <si>
    <t>512211</t>
  </si>
  <si>
    <t>Belanja Uang Lembur</t>
  </si>
  <si>
    <t>512411</t>
  </si>
  <si>
    <t>Belanja Pegawai (Tunjangan Khusus/Kegiatan/Kinerja)</t>
  </si>
  <si>
    <t>Tunjangan Kinerja</t>
  </si>
  <si>
    <t>512414</t>
  </si>
  <si>
    <t>Belanja Pegawai Tunjangan Khusus/Kegiatan/Kinerja PPPK</t>
  </si>
  <si>
    <t>Tunjangan Kinerja PPPK</t>
  </si>
  <si>
    <t>002</t>
  </si>
  <si>
    <t>Operasional dan Pemeliharaan Kantor</t>
  </si>
  <si>
    <t>521111</t>
  </si>
  <si>
    <t>Belanja Keperluan Perkantoran</t>
  </si>
  <si>
    <t>Biaya pengurusan surat kendaraan eselon iii/Operasional</t>
  </si>
  <si>
    <t>1.0 U/THN</t>
  </si>
  <si>
    <t>Biaya pengurusan surat kendaraan roda 2</t>
  </si>
  <si>
    <t>Keperluan sehari-hari perkantoran</t>
  </si>
  <si>
    <t>1.0 OT</t>
  </si>
  <si>
    <t>Pengiriman Surat Dinas</t>
  </si>
  <si>
    <t>Langganan Canva Pro</t>
  </si>
  <si>
    <t>1.0 Thn</t>
  </si>
  <si>
    <t>Biaya Manajemen Building (Jasa Keamanan)</t>
  </si>
  <si>
    <t>521115</t>
  </si>
  <si>
    <t>Belanja Honor Operasional Satuan Kerja</t>
  </si>
  <si>
    <t>Kuasa Pengguna Anggaran</t>
  </si>
  <si>
    <t>12.0 O-B</t>
  </si>
  <si>
    <t>Pejabat Pembuat Komitmen</t>
  </si>
  <si>
    <t>Pejabat Penandatangan SPM</t>
  </si>
  <si>
    <t>Bendahara</t>
  </si>
  <si>
    <t>Pejabat pengadaan</t>
  </si>
  <si>
    <t>Pengurus/penyimpan bmn</t>
  </si>
  <si>
    <t>521119</t>
  </si>
  <si>
    <t>Belanja Barang Operasional Lainnya</t>
  </si>
  <si>
    <t>Pakaian seragam pegawai</t>
  </si>
  <si>
    <t>36.0 Stel</t>
  </si>
  <si>
    <t>Pengadaan lanyard pegawai</t>
  </si>
  <si>
    <t>6.0 Paket</t>
  </si>
  <si>
    <t>Instruktur senam</t>
  </si>
  <si>
    <t>Kelengkapan standar pelayanan</t>
  </si>
  <si>
    <t>Spanduk kegiatan</t>
  </si>
  <si>
    <t>50.0 Meter</t>
  </si>
  <si>
    <t>Honor rohaniwan pelantikan PNS</t>
  </si>
  <si>
    <t>Pengadaan Kertas, ATK, Bahan Cetakan, Alat-alat Rumah Tangga</t>
  </si>
  <si>
    <t>522111</t>
  </si>
  <si>
    <t>Belanja Langganan Listrik</t>
  </si>
  <si>
    <t>Biaya langganan listrik</t>
  </si>
  <si>
    <t>522112</t>
  </si>
  <si>
    <t>Belanja Langganan Telepon</t>
  </si>
  <si>
    <t>Biaya langganan telepon</t>
  </si>
  <si>
    <t>522113</t>
  </si>
  <si>
    <t>Belanja Langganan Air</t>
  </si>
  <si>
    <t>Biaya langganan air</t>
  </si>
  <si>
    <t>522119</t>
  </si>
  <si>
    <t>Belanja Langganan Daya dan Jasa Lainnya</t>
  </si>
  <si>
    <t>Koneksi internet</t>
  </si>
  <si>
    <t>523111</t>
  </si>
  <si>
    <t>Belanja Pemeliharaan Gedung dan Bangunan</t>
  </si>
  <si>
    <t>Pemeliharaan gedung kantor</t>
  </si>
  <si>
    <t>280.0 M2/TH</t>
  </si>
  <si>
    <t>839.0 M2/TH</t>
  </si>
  <si>
    <t>Pemeliharaan kendaraan operasional roda 2</t>
  </si>
  <si>
    <t>Inventaris kantor</t>
  </si>
  <si>
    <t>18.0 O-TH</t>
  </si>
  <si>
    <t>Pemeliharaan Air conditioner/AC</t>
  </si>
  <si>
    <t>6.0 U/THN</t>
  </si>
  <si>
    <t>Pemeliharaan genset</t>
  </si>
  <si>
    <t>Pemeliharaan kendaraan operasional eselon iii/Operasional</t>
  </si>
  <si>
    <t>Pemeliharaan PC/laptop/notebook</t>
  </si>
  <si>
    <t>23.0 U/THN</t>
  </si>
  <si>
    <t>Pemeliharaan printer</t>
  </si>
  <si>
    <t>9.0 U/THN</t>
  </si>
  <si>
    <t>Pemeliharaan UPS</t>
  </si>
  <si>
    <t>16.0 Unit</t>
  </si>
  <si>
    <t>Perjalan Dinas Biasa (Transport Perjalanan dan Akomodasi)</t>
  </si>
  <si>
    <t>4.0 O-P</t>
  </si>
  <si>
    <t>2886.EBD</t>
  </si>
  <si>
    <t>Layanan Manajemen Kinerja Internal[Base Line]</t>
  </si>
  <si>
    <t>2.0 Dokumen, Layanan, Laporan, Rekomendasi</t>
  </si>
  <si>
    <t>2886.EBD.955</t>
  </si>
  <si>
    <t>Layanan Manajemen Keuangan</t>
  </si>
  <si>
    <t>1.0 Dokumen</t>
  </si>
  <si>
    <t>Pengelola SAI tingkat satuan: koordinator</t>
  </si>
  <si>
    <t>Pengelola SAI tingkat satuan kerja: ketua</t>
  </si>
  <si>
    <t>Pengelola SAI tingkat satuan kerja: anggota</t>
  </si>
  <si>
    <t>24.0 OB</t>
  </si>
  <si>
    <t>Perjalanan pengelola keuangan ke KPPN</t>
  </si>
  <si>
    <t>2886.EBD.961</t>
  </si>
  <si>
    <t>Honor Narasumber Eselon III</t>
  </si>
  <si>
    <t>Solok, 26 Januari 2026</t>
  </si>
  <si>
    <t>Catatan :</t>
  </si>
  <si>
    <t>1. U = Komponen Utama</t>
  </si>
  <si>
    <t>2. P = Komponen Penunjang</t>
  </si>
  <si>
    <t>3. * = Blokir</t>
  </si>
  <si>
    <t>ALFIANTO</t>
  </si>
  <si>
    <t>NIP. 197212061999031001</t>
  </si>
  <si>
    <t>GG.2896.BMA.52-Contoh ITEM</t>
  </si>
  <si>
    <t>GG.2905.BMA.52-Contoh Item B</t>
  </si>
  <si>
    <t>WA.2886.EBA.51-Contoh Item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</si>
</sst>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p. &quot;#,##0"/>
    <numFmt numFmtId="165" formatCode="#,##0.00;\(#,##0.00\)"/>
    <numFmt numFmtId="166" formatCode="m/d/yyyy\ h:mm:ss"/>
  </numFmts>
  <fonts count="25">
    <font>
      <sz val="10"/>
      <color rgb="FF000000"/>
      <name val="Arial"/>
      <scheme val="minor"/>
    </font>
    <font>
      <b/>
      <sz val="10"/>
      <color rgb="FFFFFFFF"/>
      <name val="&quot;Google Sans Text&quot;"/>
    </font>
    <font>
      <b/>
      <sz val="10"/>
      <color rgb="FF1F1F1F"/>
      <name val="&quot;Google Sans Text&quot;"/>
    </font>
    <font>
      <b/>
      <sz val="10"/>
      <color rgb="FFFFFFFF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rgb="FF1F1F1F"/>
      <name val="&quot;Google Sans Text&quot;"/>
    </font>
    <font>
      <sz val="10"/>
      <color theme="1"/>
      <name val="Arial"/>
      <scheme val="minor"/>
    </font>
    <font>
      <sz val="10"/>
      <color rgb="FF1F1F1F"/>
      <name val="Google Sans Text"/>
    </font>
    <font>
      <sz val="10"/>
      <color rgb="FFFFFFFF"/>
      <name val="Arial"/>
    </font>
    <font>
      <sz val="10"/>
      <color rgb="FFFFFFFF"/>
      <name val="Arial"/>
      <scheme val="minor"/>
    </font>
    <font>
      <b/>
      <sz val="11"/>
      <color rgb="FF222222"/>
      <name val="&quot;Google Sans&quot;"/>
    </font>
    <font>
      <sz val="10"/>
      <name val="Arial"/>
    </font>
    <font>
      <sz val="6"/>
      <color rgb="FF0C0C5E"/>
      <name val="Arial"/>
    </font>
    <font>
      <sz val="11"/>
      <color theme="1"/>
      <name val="Calibri"/>
    </font>
    <font>
      <sz val="6"/>
      <color rgb="FF0000FF"/>
      <name val="Arial"/>
    </font>
    <font>
      <sz val="6"/>
      <color rgb="FFB10301"/>
      <name val="Arial"/>
    </font>
    <font>
      <sz val="6"/>
      <color theme="1"/>
      <name val="Arial"/>
    </font>
    <font>
      <b/>
      <sz val="6"/>
      <color theme="1"/>
      <name val="Arial"/>
    </font>
    <font>
      <b/>
      <sz val="6"/>
      <color theme="1"/>
      <name val="SansSerif"/>
    </font>
    <font>
      <i/>
      <sz val="6"/>
      <color theme="1"/>
      <name val="Arial"/>
    </font>
    <font>
      <u/>
      <sz val="6"/>
      <color theme="1"/>
      <name val="Arial"/>
    </font>
    <font>
      <u/>
      <sz val="6"/>
      <color theme="1"/>
      <name val="Arial"/>
    </font>
    <font>
      <sz val="7"/>
      <color theme="1"/>
      <name val="Arial"/>
    </font>
    <font>
      <b/>
      <u/>
      <sz val="7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4A86E8"/>
        <bgColor rgb="FF4A86E8"/>
      </patternFill>
    </fill>
    <fill>
      <patternFill patternType="solid">
        <fgColor rgb="FFD8E5F8"/>
        <bgColor rgb="FFD8E5F8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8EAADB"/>
        <bgColor rgb="FF8EAADB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2" borderId="0" xfId="0" applyFont="1" applyFill="1"/>
    <xf numFmtId="3" fontId="1" fillId="2" borderId="1" xfId="0" applyNumberFormat="1" applyFont="1" applyFill="1" applyBorder="1"/>
    <xf numFmtId="0" fontId="2" fillId="3" borderId="0" xfId="0" applyFont="1" applyFill="1"/>
    <xf numFmtId="0" fontId="3" fillId="4" borderId="2" xfId="0" applyFont="1" applyFill="1" applyBorder="1" applyAlignment="1">
      <alignment horizontal="left"/>
    </xf>
    <xf numFmtId="0" fontId="4" fillId="3" borderId="0" xfId="0" applyFont="1" applyFill="1"/>
    <xf numFmtId="0" fontId="5" fillId="3" borderId="0" xfId="0" applyFont="1" applyFill="1"/>
    <xf numFmtId="0" fontId="6" fillId="3" borderId="1" xfId="0" applyFont="1" applyFill="1" applyBorder="1"/>
    <xf numFmtId="0" fontId="6" fillId="3" borderId="0" xfId="0" applyFont="1" applyFill="1"/>
    <xf numFmtId="164" fontId="6" fillId="3" borderId="3" xfId="0" applyNumberFormat="1" applyFont="1" applyFill="1" applyBorder="1" applyAlignment="1">
      <alignment horizontal="left"/>
    </xf>
    <xf numFmtId="0" fontId="7" fillId="3" borderId="0" xfId="0" applyFont="1" applyFill="1"/>
    <xf numFmtId="0" fontId="6" fillId="0" borderId="0" xfId="0" applyFont="1"/>
    <xf numFmtId="0" fontId="7" fillId="0" borderId="0" xfId="0" applyFont="1" applyAlignment="1">
      <alignment horizontal="left"/>
    </xf>
    <xf numFmtId="0" fontId="5" fillId="0" borderId="0" xfId="0" applyFont="1"/>
    <xf numFmtId="0" fontId="7" fillId="0" borderId="1" xfId="0" applyFont="1" applyBorder="1"/>
    <xf numFmtId="3" fontId="7" fillId="0" borderId="1" xfId="0" applyNumberFormat="1" applyFont="1" applyBorder="1"/>
    <xf numFmtId="0" fontId="8" fillId="0" borderId="0" xfId="0" applyFont="1"/>
    <xf numFmtId="3" fontId="5" fillId="0" borderId="1" xfId="0" applyNumberFormat="1" applyFont="1" applyBorder="1"/>
    <xf numFmtId="0" fontId="5" fillId="0" borderId="0" xfId="0" applyFont="1" applyAlignment="1">
      <alignment horizontal="left"/>
    </xf>
    <xf numFmtId="3" fontId="8" fillId="0" borderId="1" xfId="0" applyNumberFormat="1" applyFont="1" applyBorder="1"/>
    <xf numFmtId="0" fontId="8" fillId="0" borderId="0" xfId="0" applyFont="1" applyAlignment="1">
      <alignment horizontal="left"/>
    </xf>
    <xf numFmtId="0" fontId="9" fillId="5" borderId="0" xfId="0" applyFont="1" applyFill="1" applyAlignment="1">
      <alignment horizontal="center"/>
    </xf>
    <xf numFmtId="0" fontId="10" fillId="5" borderId="0" xfId="0" applyFont="1" applyFill="1"/>
    <xf numFmtId="165" fontId="9" fillId="5" borderId="0" xfId="0" applyNumberFormat="1" applyFont="1" applyFill="1" applyAlignment="1">
      <alignment horizontal="center"/>
    </xf>
    <xf numFmtId="166" fontId="7" fillId="0" borderId="0" xfId="0" applyNumberFormat="1" applyFont="1"/>
    <xf numFmtId="0" fontId="7" fillId="0" borderId="0" xfId="0" applyFont="1"/>
    <xf numFmtId="0" fontId="10" fillId="7" borderId="0" xfId="0" applyFont="1" applyFill="1"/>
    <xf numFmtId="0" fontId="7" fillId="8" borderId="7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4" fillId="0" borderId="0" xfId="0" applyFont="1"/>
    <xf numFmtId="3" fontId="14" fillId="0" borderId="0" xfId="0" applyNumberFormat="1" applyFont="1"/>
    <xf numFmtId="3" fontId="13" fillId="0" borderId="0" xfId="0" applyNumberFormat="1" applyFont="1" applyAlignment="1">
      <alignment horizontal="right" wrapText="1"/>
    </xf>
    <xf numFmtId="3" fontId="15" fillId="0" borderId="0" xfId="0" applyNumberFormat="1" applyFont="1" applyAlignment="1">
      <alignment horizontal="right" wrapText="1"/>
    </xf>
    <xf numFmtId="0" fontId="16" fillId="0" borderId="0" xfId="0" applyFont="1" applyAlignment="1">
      <alignment horizontal="center" wrapText="1"/>
    </xf>
    <xf numFmtId="3" fontId="16" fillId="0" borderId="0" xfId="0" applyNumberFormat="1" applyFont="1" applyAlignment="1">
      <alignment horizontal="right"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horizontal="center" vertical="top" wrapText="1"/>
    </xf>
    <xf numFmtId="3" fontId="18" fillId="0" borderId="0" xfId="0" applyNumberFormat="1" applyFont="1" applyAlignment="1">
      <alignment horizontal="right" wrapText="1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3" fontId="20" fillId="0" borderId="0" xfId="0" applyNumberFormat="1" applyFont="1" applyAlignment="1">
      <alignment horizontal="right" wrapText="1"/>
    </xf>
    <xf numFmtId="3" fontId="17" fillId="0" borderId="0" xfId="0" applyNumberFormat="1" applyFont="1" applyAlignment="1">
      <alignment horizontal="right" wrapText="1"/>
    </xf>
    <xf numFmtId="3" fontId="17" fillId="0" borderId="0" xfId="0" applyNumberFormat="1" applyFont="1" applyAlignment="1">
      <alignment horizontal="center" wrapText="1"/>
    </xf>
    <xf numFmtId="0" fontId="14" fillId="0" borderId="0" xfId="0" applyFont="1" applyAlignment="1">
      <alignment horizontal="right"/>
    </xf>
    <xf numFmtId="0" fontId="14" fillId="9" borderId="11" xfId="0" applyFont="1" applyFill="1" applyBorder="1"/>
    <xf numFmtId="3" fontId="14" fillId="9" borderId="11" xfId="0" applyNumberFormat="1" applyFont="1" applyFill="1" applyBorder="1"/>
    <xf numFmtId="3" fontId="13" fillId="9" borderId="11" xfId="0" applyNumberFormat="1" applyFont="1" applyFill="1" applyBorder="1" applyAlignment="1">
      <alignment horizontal="right" wrapText="1"/>
    </xf>
    <xf numFmtId="3" fontId="15" fillId="9" borderId="11" xfId="0" applyNumberFormat="1" applyFont="1" applyFill="1" applyBorder="1" applyAlignment="1">
      <alignment horizontal="right" wrapText="1"/>
    </xf>
    <xf numFmtId="0" fontId="16" fillId="9" borderId="11" xfId="0" applyFont="1" applyFill="1" applyBorder="1" applyAlignment="1">
      <alignment horizontal="center" wrapText="1"/>
    </xf>
    <xf numFmtId="3" fontId="16" fillId="9" borderId="11" xfId="0" applyNumberFormat="1" applyFont="1" applyFill="1" applyBorder="1" applyAlignment="1">
      <alignment horizontal="right" wrapText="1"/>
    </xf>
    <xf numFmtId="0" fontId="18" fillId="9" borderId="11" xfId="0" applyFont="1" applyFill="1" applyBorder="1" applyAlignment="1">
      <alignment horizontal="center" vertical="top" wrapText="1"/>
    </xf>
    <xf numFmtId="3" fontId="18" fillId="9" borderId="11" xfId="0" applyNumberFormat="1" applyFont="1" applyFill="1" applyBorder="1" applyAlignment="1">
      <alignment horizontal="right" wrapText="1"/>
    </xf>
    <xf numFmtId="0" fontId="18" fillId="9" borderId="11" xfId="0" applyFont="1" applyFill="1" applyBorder="1" applyAlignment="1">
      <alignment horizontal="center" wrapText="1"/>
    </xf>
    <xf numFmtId="0" fontId="19" fillId="9" borderId="11" xfId="0" applyFont="1" applyFill="1" applyBorder="1" applyAlignment="1">
      <alignment horizontal="center" wrapText="1"/>
    </xf>
    <xf numFmtId="3" fontId="20" fillId="9" borderId="11" xfId="0" applyNumberFormat="1" applyFont="1" applyFill="1" applyBorder="1" applyAlignment="1">
      <alignment horizontal="right" wrapText="1"/>
    </xf>
    <xf numFmtId="3" fontId="17" fillId="9" borderId="11" xfId="0" applyNumberFormat="1" applyFont="1" applyFill="1" applyBorder="1" applyAlignment="1">
      <alignment horizontal="right" wrapText="1"/>
    </xf>
    <xf numFmtId="0" fontId="17" fillId="9" borderId="11" xfId="0" applyFont="1" applyFill="1" applyBorder="1" applyAlignment="1">
      <alignment wrapText="1"/>
    </xf>
    <xf numFmtId="3" fontId="17" fillId="9" borderId="11" xfId="0" applyNumberFormat="1" applyFont="1" applyFill="1" applyBorder="1" applyAlignment="1">
      <alignment horizontal="center" wrapText="1"/>
    </xf>
    <xf numFmtId="0" fontId="14" fillId="0" borderId="0" xfId="0" applyFont="1" applyAlignment="1">
      <alignment vertical="top"/>
    </xf>
    <xf numFmtId="0" fontId="10" fillId="7" borderId="0" xfId="0" applyFont="1" applyFill="1"/>
    <xf numFmtId="0" fontId="0" fillId="0" borderId="0" xfId="0"/>
    <xf numFmtId="0" fontId="11" fillId="6" borderId="0" xfId="0" applyFont="1" applyFill="1"/>
    <xf numFmtId="0" fontId="5" fillId="3" borderId="0" xfId="0" applyFont="1" applyFill="1"/>
    <xf numFmtId="0" fontId="5" fillId="8" borderId="4" xfId="0" applyFont="1" applyFill="1" applyBorder="1" applyAlignment="1">
      <alignment horizontal="center"/>
    </xf>
    <xf numFmtId="0" fontId="12" fillId="0" borderId="5" xfId="0" applyFont="1" applyBorder="1"/>
    <xf numFmtId="0" fontId="12" fillId="0" borderId="6" xfId="0" applyFont="1" applyBorder="1"/>
    <xf numFmtId="0" fontId="7" fillId="0" borderId="0" xfId="0" applyFont="1"/>
    <xf numFmtId="0" fontId="20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17" fillId="9" borderId="8" xfId="0" applyFont="1" applyFill="1" applyBorder="1" applyAlignment="1">
      <alignment wrapText="1"/>
    </xf>
    <xf numFmtId="0" fontId="12" fillId="0" borderId="10" xfId="0" applyFont="1" applyBorder="1"/>
    <xf numFmtId="0" fontId="22" fillId="9" borderId="8" xfId="0" applyFont="1" applyFill="1" applyBorder="1" applyAlignment="1">
      <alignment wrapText="1"/>
    </xf>
    <xf numFmtId="0" fontId="12" fillId="0" borderId="9" xfId="0" applyFont="1" applyBorder="1"/>
    <xf numFmtId="0" fontId="18" fillId="9" borderId="8" xfId="0" applyFont="1" applyFill="1" applyBorder="1" applyAlignment="1">
      <alignment wrapText="1"/>
    </xf>
    <xf numFmtId="0" fontId="20" fillId="9" borderId="8" xfId="0" applyFont="1" applyFill="1" applyBorder="1" applyAlignment="1">
      <alignment wrapText="1"/>
    </xf>
    <xf numFmtId="0" fontId="16" fillId="9" borderId="8" xfId="0" applyFont="1" applyFill="1" applyBorder="1" applyAlignment="1">
      <alignment wrapText="1"/>
    </xf>
    <xf numFmtId="0" fontId="13" fillId="9" borderId="8" xfId="0" applyFont="1" applyFill="1" applyBorder="1" applyAlignment="1">
      <alignment wrapText="1"/>
    </xf>
    <xf numFmtId="0" fontId="15" fillId="9" borderId="8" xfId="0" applyFont="1" applyFill="1" applyBorder="1" applyAlignment="1">
      <alignment wrapText="1"/>
    </xf>
    <xf numFmtId="0" fontId="17" fillId="0" borderId="0" xfId="0" applyFont="1" applyAlignment="1">
      <alignment horizontal="center" wrapText="1"/>
    </xf>
    <xf numFmtId="0" fontId="14" fillId="0" borderId="0" xfId="0" applyFont="1"/>
    <xf numFmtId="0" fontId="17" fillId="9" borderId="8" xfId="0" applyFont="1" applyFill="1" applyBorder="1" applyAlignment="1">
      <alignment horizontal="center" wrapText="1"/>
    </xf>
    <xf numFmtId="0" fontId="14" fillId="9" borderId="8" xfId="0" applyFont="1" applyFill="1" applyBorder="1"/>
    <xf numFmtId="0" fontId="13" fillId="0" borderId="0" xfId="0" applyFont="1" applyAlignment="1">
      <alignment wrapText="1"/>
    </xf>
    <xf numFmtId="3" fontId="17" fillId="0" borderId="0" xfId="0" applyNumberFormat="1" applyFont="1" applyAlignment="1">
      <alignment horizontal="right" wrapText="1"/>
    </xf>
    <xf numFmtId="3" fontId="17" fillId="9" borderId="8" xfId="0" applyNumberFormat="1" applyFont="1" applyFill="1" applyBorder="1" applyAlignment="1">
      <alignment horizontal="right" wrapText="1"/>
    </xf>
    <xf numFmtId="0" fontId="14" fillId="0" borderId="0" xfId="0" applyFont="1" applyAlignment="1">
      <alignment vertical="top"/>
    </xf>
    <xf numFmtId="0" fontId="24" fillId="0" borderId="0" xfId="0" applyFont="1" applyAlignment="1">
      <alignment horizontal="center" vertical="top" wrapText="1"/>
    </xf>
    <xf numFmtId="0" fontId="2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52"/>
  <sheetViews>
    <sheetView workbookViewId="0">
      <selection activeCell="A9" sqref="A9"/>
    </sheetView>
  </sheetViews>
  <sheetFormatPr defaultColWidth="12.6328125" defaultRowHeight="15.75" customHeight="1"/>
  <cols>
    <col min="1" max="1" width="105.7265625" customWidth="1"/>
    <col min="2" max="2" width="16.08984375" customWidth="1"/>
    <col min="3" max="3" width="8" customWidth="1"/>
    <col min="4" max="4" width="24.90625" customWidth="1"/>
  </cols>
  <sheetData>
    <row r="1" spans="1:26">
      <c r="A1" s="1" t="s">
        <v>0</v>
      </c>
      <c r="B1" s="2" t="s">
        <v>1</v>
      </c>
      <c r="C1" s="3"/>
      <c r="D1" s="4" t="s">
        <v>2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6" t="s">
        <v>923</v>
      </c>
      <c r="B2" s="7">
        <v>170000</v>
      </c>
      <c r="C2" s="8"/>
      <c r="D2" s="9">
        <f>SUM(B:B)</f>
        <v>170000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.75" customHeight="1">
      <c r="A3" s="6"/>
      <c r="B3" s="7"/>
      <c r="C3" s="8"/>
      <c r="D3" s="9">
        <f>SUM(INPUTAN!F:F)</f>
        <v>98500000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.75" customHeight="1">
      <c r="A4" s="6"/>
      <c r="B4" s="7"/>
      <c r="C4" s="11"/>
      <c r="D4" s="12"/>
    </row>
    <row r="5" spans="1:26" ht="15.75" customHeight="1">
      <c r="A5" s="13"/>
      <c r="B5" s="14"/>
      <c r="D5" s="12"/>
    </row>
    <row r="6" spans="1:26" ht="15.75" customHeight="1">
      <c r="A6" s="13"/>
      <c r="B6" s="14"/>
      <c r="D6" s="12"/>
    </row>
    <row r="7" spans="1:26" ht="15.75" customHeight="1">
      <c r="A7" s="13"/>
      <c r="B7" s="14"/>
      <c r="D7" s="12"/>
    </row>
    <row r="8" spans="1:26" ht="15.75" customHeight="1">
      <c r="A8" s="13"/>
      <c r="B8" s="14"/>
      <c r="D8" s="12"/>
    </row>
    <row r="9" spans="1:26" ht="15.75" customHeight="1">
      <c r="A9" s="13"/>
      <c r="B9" s="14"/>
      <c r="D9" s="12"/>
    </row>
    <row r="10" spans="1:26" ht="15.75" customHeight="1">
      <c r="A10" s="13"/>
      <c r="B10" s="14"/>
      <c r="D10" s="12"/>
    </row>
    <row r="11" spans="1:26" ht="15.75" customHeight="1">
      <c r="A11" s="13"/>
      <c r="B11" s="14"/>
      <c r="D11" s="12"/>
    </row>
    <row r="12" spans="1:26" ht="15.75" customHeight="1">
      <c r="A12" s="13"/>
      <c r="B12" s="14"/>
      <c r="D12" s="12"/>
    </row>
    <row r="13" spans="1:26" ht="15.75" customHeight="1">
      <c r="A13" s="13"/>
      <c r="B13" s="14"/>
      <c r="D13" s="12"/>
    </row>
    <row r="14" spans="1:26" ht="15.75" customHeight="1">
      <c r="A14" s="13"/>
      <c r="B14" s="14"/>
      <c r="D14" s="12"/>
    </row>
    <row r="15" spans="1:26" ht="15.75" customHeight="1">
      <c r="A15" s="13"/>
      <c r="B15" s="14"/>
      <c r="D15" s="12"/>
    </row>
    <row r="16" spans="1:26" ht="15.75" customHeight="1">
      <c r="A16" s="13"/>
      <c r="B16" s="14"/>
      <c r="D16" s="12"/>
    </row>
    <row r="17" spans="1:4" ht="15.75" customHeight="1">
      <c r="A17" s="13"/>
      <c r="B17" s="14"/>
      <c r="D17" s="12"/>
    </row>
    <row r="18" spans="1:4" ht="15.75" customHeight="1">
      <c r="A18" s="13"/>
      <c r="B18" s="14"/>
      <c r="D18" s="12"/>
    </row>
    <row r="19" spans="1:4" ht="15.75" customHeight="1">
      <c r="A19" s="13"/>
      <c r="B19" s="14"/>
      <c r="D19" s="12"/>
    </row>
    <row r="20" spans="1:4" ht="15.75" customHeight="1">
      <c r="A20" s="13"/>
      <c r="B20" s="14"/>
      <c r="D20" s="12"/>
    </row>
    <row r="21" spans="1:4" ht="15.75" customHeight="1">
      <c r="A21" s="13"/>
      <c r="B21" s="14"/>
      <c r="D21" s="12"/>
    </row>
    <row r="22" spans="1:4" ht="12.5">
      <c r="A22" s="13"/>
      <c r="B22" s="14"/>
      <c r="D22" s="12"/>
    </row>
    <row r="23" spans="1:4" ht="12.5">
      <c r="A23" s="13"/>
      <c r="B23" s="14"/>
      <c r="D23" s="12"/>
    </row>
    <row r="24" spans="1:4" ht="12.5">
      <c r="A24" s="13"/>
      <c r="B24" s="14"/>
      <c r="D24" s="12"/>
    </row>
    <row r="25" spans="1:4" ht="12.5">
      <c r="A25" s="13"/>
      <c r="B25" s="14"/>
      <c r="D25" s="12"/>
    </row>
    <row r="26" spans="1:4" ht="12.5">
      <c r="A26" s="13"/>
      <c r="B26" s="14"/>
      <c r="D26" s="12"/>
    </row>
    <row r="27" spans="1:4" ht="12.5">
      <c r="A27" s="13"/>
      <c r="B27" s="14"/>
      <c r="D27" s="12"/>
    </row>
    <row r="28" spans="1:4" ht="12.5">
      <c r="A28" s="13"/>
      <c r="B28" s="15"/>
      <c r="D28" s="12"/>
    </row>
    <row r="29" spans="1:4" ht="12.5">
      <c r="A29" s="13"/>
      <c r="B29" s="15"/>
      <c r="D29" s="12"/>
    </row>
    <row r="30" spans="1:4" ht="12.5">
      <c r="A30" s="13"/>
      <c r="B30" s="15"/>
      <c r="D30" s="12"/>
    </row>
    <row r="31" spans="1:4" ht="12.5">
      <c r="A31" s="13"/>
      <c r="B31" s="15"/>
      <c r="D31" s="12"/>
    </row>
    <row r="32" spans="1:4" ht="12.5">
      <c r="A32" s="13"/>
      <c r="B32" s="15"/>
      <c r="D32" s="12"/>
    </row>
    <row r="33" spans="1:4" ht="12.5">
      <c r="A33" s="13"/>
      <c r="B33" s="15"/>
      <c r="D33" s="12"/>
    </row>
    <row r="34" spans="1:4" ht="12.5">
      <c r="A34" s="13"/>
      <c r="B34" s="15"/>
      <c r="D34" s="12"/>
    </row>
    <row r="35" spans="1:4" ht="12.5">
      <c r="A35" s="13"/>
      <c r="B35" s="15"/>
      <c r="D35" s="12"/>
    </row>
    <row r="36" spans="1:4" ht="12.5">
      <c r="A36" s="13"/>
      <c r="B36" s="15"/>
      <c r="D36" s="12"/>
    </row>
    <row r="37" spans="1:4" ht="12.5">
      <c r="A37" s="13"/>
      <c r="B37" s="15"/>
      <c r="D37" s="12"/>
    </row>
    <row r="38" spans="1:4" ht="12.5">
      <c r="A38" s="13"/>
      <c r="B38" s="15"/>
      <c r="D38" s="12"/>
    </row>
    <row r="39" spans="1:4" ht="12.5">
      <c r="A39" s="13"/>
      <c r="B39" s="15"/>
      <c r="D39" s="12"/>
    </row>
    <row r="40" spans="1:4" ht="12.5">
      <c r="A40" s="13"/>
      <c r="B40" s="15"/>
      <c r="D40" s="12"/>
    </row>
    <row r="41" spans="1:4" ht="12.5">
      <c r="A41" s="13"/>
      <c r="B41" s="15"/>
      <c r="D41" s="12"/>
    </row>
    <row r="42" spans="1:4" ht="12.5">
      <c r="A42" s="13"/>
      <c r="B42" s="15"/>
      <c r="D42" s="12"/>
    </row>
    <row r="43" spans="1:4" ht="12.5">
      <c r="A43" s="13"/>
      <c r="B43" s="15"/>
      <c r="D43" s="12"/>
    </row>
    <row r="44" spans="1:4" ht="12.5">
      <c r="A44" s="13"/>
      <c r="B44" s="15"/>
      <c r="D44" s="12"/>
    </row>
    <row r="45" spans="1:4" ht="12.5">
      <c r="A45" s="13"/>
      <c r="B45" s="15"/>
      <c r="D45" s="12"/>
    </row>
    <row r="46" spans="1:4" ht="12.5">
      <c r="A46" s="13"/>
      <c r="B46" s="15"/>
      <c r="D46" s="12"/>
    </row>
    <row r="47" spans="1:4" ht="12.5">
      <c r="A47" s="13"/>
      <c r="B47" s="15"/>
      <c r="D47" s="12"/>
    </row>
    <row r="48" spans="1:4" ht="12.5">
      <c r="A48" s="13"/>
      <c r="B48" s="15"/>
      <c r="D48" s="12"/>
    </row>
    <row r="49" spans="1:4" ht="12.5">
      <c r="A49" s="13"/>
      <c r="B49" s="15"/>
      <c r="D49" s="12"/>
    </row>
    <row r="50" spans="1:4" ht="12.5">
      <c r="A50" s="13"/>
      <c r="B50" s="15"/>
      <c r="D50" s="12"/>
    </row>
    <row r="51" spans="1:4" ht="12.5">
      <c r="A51" s="13"/>
      <c r="B51" s="15"/>
      <c r="D51" s="12"/>
    </row>
    <row r="52" spans="1:4" ht="12.5">
      <c r="A52" s="13"/>
      <c r="B52" s="15"/>
      <c r="D52" s="12"/>
    </row>
    <row r="53" spans="1:4" ht="12.5">
      <c r="A53" s="13"/>
      <c r="B53" s="15"/>
      <c r="D53" s="12"/>
    </row>
    <row r="54" spans="1:4" ht="12.5">
      <c r="A54" s="13"/>
      <c r="B54" s="15"/>
      <c r="D54" s="12"/>
    </row>
    <row r="55" spans="1:4" ht="12.5">
      <c r="A55" s="13"/>
      <c r="B55" s="15"/>
      <c r="D55" s="12"/>
    </row>
    <row r="56" spans="1:4" ht="12.5">
      <c r="A56" s="13"/>
      <c r="B56" s="15"/>
      <c r="D56" s="12"/>
    </row>
    <row r="57" spans="1:4" ht="12.5">
      <c r="A57" s="13"/>
      <c r="B57" s="15"/>
      <c r="D57" s="12"/>
    </row>
    <row r="58" spans="1:4" ht="12.5">
      <c r="A58" s="13"/>
      <c r="B58" s="15"/>
      <c r="D58" s="12"/>
    </row>
    <row r="59" spans="1:4" ht="12.5">
      <c r="A59" s="13"/>
      <c r="B59" s="15"/>
      <c r="D59" s="12"/>
    </row>
    <row r="60" spans="1:4" ht="12.5">
      <c r="A60" s="13"/>
      <c r="B60" s="15"/>
      <c r="D60" s="12"/>
    </row>
    <row r="61" spans="1:4" ht="12.5">
      <c r="A61" s="13"/>
      <c r="B61" s="15"/>
      <c r="D61" s="12"/>
    </row>
    <row r="62" spans="1:4" ht="12.5">
      <c r="A62" s="13"/>
      <c r="B62" s="15"/>
      <c r="D62" s="12"/>
    </row>
    <row r="63" spans="1:4" ht="12.5">
      <c r="A63" s="13"/>
      <c r="B63" s="15"/>
      <c r="D63" s="12"/>
    </row>
    <row r="64" spans="1:4" ht="12.5">
      <c r="A64" s="13"/>
      <c r="B64" s="15"/>
      <c r="D64" s="12"/>
    </row>
    <row r="65" spans="1:4" ht="12.5">
      <c r="A65" s="13"/>
      <c r="B65" s="15"/>
      <c r="D65" s="12"/>
    </row>
    <row r="66" spans="1:4" ht="12.5">
      <c r="A66" s="13"/>
      <c r="B66" s="15"/>
      <c r="D66" s="12"/>
    </row>
    <row r="67" spans="1:4" ht="12.5">
      <c r="A67" s="13"/>
      <c r="B67" s="15"/>
      <c r="D67" s="12"/>
    </row>
    <row r="68" spans="1:4" ht="12.5">
      <c r="A68" s="13"/>
      <c r="B68" s="15"/>
      <c r="D68" s="12"/>
    </row>
    <row r="69" spans="1:4" ht="12.5">
      <c r="A69" s="13"/>
      <c r="B69" s="15"/>
      <c r="D69" s="12"/>
    </row>
    <row r="70" spans="1:4" ht="12.5">
      <c r="A70" s="13"/>
      <c r="B70" s="15"/>
      <c r="D70" s="12"/>
    </row>
    <row r="71" spans="1:4" ht="12.5">
      <c r="A71" s="13"/>
      <c r="B71" s="15"/>
      <c r="D71" s="12"/>
    </row>
    <row r="72" spans="1:4" ht="12.5">
      <c r="A72" s="13"/>
      <c r="B72" s="15"/>
      <c r="D72" s="12"/>
    </row>
    <row r="73" spans="1:4" ht="12.5">
      <c r="A73" s="13"/>
      <c r="B73" s="15"/>
      <c r="D73" s="12"/>
    </row>
    <row r="74" spans="1:4" ht="12.5">
      <c r="A74" s="13"/>
      <c r="B74" s="15"/>
      <c r="D74" s="12"/>
    </row>
    <row r="75" spans="1:4" ht="12.5">
      <c r="A75" s="13"/>
      <c r="B75" s="15"/>
      <c r="D75" s="12"/>
    </row>
    <row r="76" spans="1:4" ht="12.5">
      <c r="A76" s="13"/>
      <c r="B76" s="15"/>
      <c r="D76" s="12"/>
    </row>
    <row r="77" spans="1:4" ht="12.5">
      <c r="A77" s="13"/>
      <c r="B77" s="15"/>
      <c r="D77" s="12"/>
    </row>
    <row r="78" spans="1:4" ht="12.5">
      <c r="A78" s="13"/>
      <c r="B78" s="15"/>
      <c r="D78" s="12"/>
    </row>
    <row r="79" spans="1:4" ht="12.5">
      <c r="A79" s="13"/>
      <c r="B79" s="15"/>
      <c r="D79" s="12"/>
    </row>
    <row r="80" spans="1:4" ht="12.5">
      <c r="A80" s="13"/>
      <c r="B80" s="15"/>
      <c r="D80" s="12"/>
    </row>
    <row r="81" spans="1:4" ht="12.5">
      <c r="A81" s="13"/>
      <c r="B81" s="15"/>
      <c r="D81" s="12"/>
    </row>
    <row r="82" spans="1:4" ht="12.5">
      <c r="A82" s="13"/>
      <c r="B82" s="15"/>
      <c r="D82" s="12"/>
    </row>
    <row r="83" spans="1:4" ht="12.5">
      <c r="A83" s="13"/>
      <c r="B83" s="15"/>
      <c r="D83" s="12"/>
    </row>
    <row r="84" spans="1:4" ht="12.5">
      <c r="A84" s="13"/>
      <c r="B84" s="15"/>
      <c r="D84" s="12"/>
    </row>
    <row r="85" spans="1:4" ht="12.5">
      <c r="A85" s="13"/>
      <c r="B85" s="15"/>
      <c r="D85" s="12"/>
    </row>
    <row r="86" spans="1:4" ht="12.5">
      <c r="A86" s="13"/>
      <c r="B86" s="15"/>
      <c r="D86" s="12"/>
    </row>
    <row r="87" spans="1:4" ht="12.5">
      <c r="A87" s="13"/>
      <c r="B87" s="15"/>
      <c r="D87" s="12"/>
    </row>
    <row r="88" spans="1:4" ht="12.5">
      <c r="A88" s="13"/>
      <c r="B88" s="15"/>
      <c r="D88" s="12"/>
    </row>
    <row r="89" spans="1:4" ht="12.5">
      <c r="A89" s="13"/>
      <c r="B89" s="15"/>
      <c r="D89" s="12"/>
    </row>
    <row r="90" spans="1:4" ht="12.5">
      <c r="A90" s="13"/>
      <c r="B90" s="15"/>
      <c r="D90" s="12"/>
    </row>
    <row r="91" spans="1:4" ht="12.5">
      <c r="A91" s="13"/>
      <c r="B91" s="15"/>
      <c r="D91" s="12"/>
    </row>
    <row r="92" spans="1:4" ht="12.5">
      <c r="A92" s="13"/>
      <c r="B92" s="15"/>
      <c r="D92" s="12"/>
    </row>
    <row r="93" spans="1:4" ht="12.5">
      <c r="A93" s="13"/>
      <c r="B93" s="15"/>
      <c r="D93" s="12"/>
    </row>
    <row r="94" spans="1:4" ht="12.5">
      <c r="A94" s="13"/>
      <c r="B94" s="15"/>
      <c r="D94" s="12"/>
    </row>
    <row r="95" spans="1:4" ht="12.5">
      <c r="A95" s="13"/>
      <c r="B95" s="15"/>
      <c r="D95" s="12"/>
    </row>
    <row r="96" spans="1:4" ht="12.5">
      <c r="A96" s="13"/>
      <c r="B96" s="15"/>
      <c r="D96" s="12"/>
    </row>
    <row r="97" spans="1:4" ht="12.5">
      <c r="A97" s="13"/>
      <c r="B97" s="15"/>
      <c r="D97" s="12"/>
    </row>
    <row r="98" spans="1:4" ht="12.5">
      <c r="A98" s="13"/>
      <c r="B98" s="15"/>
      <c r="D98" s="12"/>
    </row>
    <row r="99" spans="1:4" ht="12.5">
      <c r="A99" s="13"/>
      <c r="B99" s="15"/>
      <c r="D99" s="12"/>
    </row>
    <row r="100" spans="1:4" ht="12.5">
      <c r="A100" s="13"/>
      <c r="B100" s="15"/>
      <c r="D100" s="12"/>
    </row>
    <row r="101" spans="1:4" ht="12.5">
      <c r="A101" s="13"/>
      <c r="B101" s="15"/>
      <c r="D101" s="12"/>
    </row>
    <row r="102" spans="1:4" ht="12.5">
      <c r="A102" s="13"/>
      <c r="B102" s="15"/>
      <c r="D102" s="12"/>
    </row>
    <row r="103" spans="1:4" ht="12.5">
      <c r="A103" s="13"/>
      <c r="B103" s="15"/>
      <c r="D103" s="12"/>
    </row>
    <row r="104" spans="1:4" ht="12.5">
      <c r="A104" s="13"/>
      <c r="B104" s="15"/>
      <c r="D104" s="12"/>
    </row>
    <row r="105" spans="1:4" ht="12.5">
      <c r="A105" s="13"/>
      <c r="B105" s="15"/>
      <c r="D105" s="12"/>
    </row>
    <row r="106" spans="1:4" ht="12.5">
      <c r="A106" s="13"/>
      <c r="B106" s="15"/>
      <c r="D106" s="12"/>
    </row>
    <row r="107" spans="1:4" ht="12.5">
      <c r="A107" s="13"/>
      <c r="B107" s="15"/>
      <c r="D107" s="12"/>
    </row>
    <row r="108" spans="1:4" ht="12.5">
      <c r="A108" s="13"/>
      <c r="B108" s="15"/>
      <c r="D108" s="12"/>
    </row>
    <row r="109" spans="1:4" ht="12.5">
      <c r="A109" s="13"/>
      <c r="B109" s="15"/>
      <c r="D109" s="12"/>
    </row>
    <row r="110" spans="1:4" ht="12.5">
      <c r="A110" s="13"/>
      <c r="B110" s="15"/>
      <c r="D110" s="12"/>
    </row>
    <row r="111" spans="1:4" ht="12.5">
      <c r="A111" s="13"/>
      <c r="B111" s="15"/>
      <c r="D111" s="12"/>
    </row>
    <row r="112" spans="1:4" ht="12.5">
      <c r="A112" s="13"/>
      <c r="B112" s="15"/>
      <c r="D112" s="12"/>
    </row>
    <row r="113" spans="1:4" ht="12.5">
      <c r="A113" s="13"/>
      <c r="B113" s="15"/>
      <c r="D113" s="12"/>
    </row>
    <row r="114" spans="1:4" ht="12.5">
      <c r="A114" s="13"/>
      <c r="B114" s="15"/>
      <c r="D114" s="12"/>
    </row>
    <row r="115" spans="1:4" ht="12.5">
      <c r="A115" s="13"/>
      <c r="B115" s="15"/>
      <c r="D115" s="12"/>
    </row>
    <row r="116" spans="1:4" ht="12.5">
      <c r="A116" s="13"/>
      <c r="B116" s="15"/>
      <c r="D116" s="12"/>
    </row>
    <row r="117" spans="1:4" ht="12.5">
      <c r="A117" s="13"/>
      <c r="B117" s="15"/>
      <c r="D117" s="12"/>
    </row>
    <row r="118" spans="1:4" ht="12.5">
      <c r="A118" s="13"/>
      <c r="B118" s="15"/>
      <c r="D118" s="12"/>
    </row>
    <row r="119" spans="1:4" ht="12.5">
      <c r="A119" s="13"/>
      <c r="B119" s="15"/>
      <c r="D119" s="12"/>
    </row>
    <row r="120" spans="1:4" ht="12.5">
      <c r="A120" s="13"/>
      <c r="B120" s="15"/>
      <c r="D120" s="12"/>
    </row>
    <row r="121" spans="1:4" ht="12.5">
      <c r="A121" s="13"/>
      <c r="B121" s="15"/>
      <c r="D121" s="12"/>
    </row>
    <row r="122" spans="1:4" ht="12.5">
      <c r="A122" s="13"/>
      <c r="B122" s="15"/>
      <c r="D122" s="12"/>
    </row>
    <row r="123" spans="1:4" ht="12.5">
      <c r="A123" s="13"/>
      <c r="B123" s="15"/>
      <c r="D123" s="12"/>
    </row>
    <row r="124" spans="1:4" ht="12.5">
      <c r="A124" s="13"/>
      <c r="B124" s="15"/>
      <c r="D124" s="12"/>
    </row>
    <row r="125" spans="1:4" ht="12.5">
      <c r="A125" s="13"/>
      <c r="B125" s="15"/>
      <c r="D125" s="12"/>
    </row>
    <row r="126" spans="1:4" ht="12.5">
      <c r="A126" s="13"/>
      <c r="B126" s="15"/>
      <c r="D126" s="12"/>
    </row>
    <row r="127" spans="1:4" ht="12.5">
      <c r="A127" s="13"/>
      <c r="B127" s="15"/>
      <c r="D127" s="12"/>
    </row>
    <row r="128" spans="1:4" ht="12.5">
      <c r="A128" s="13"/>
      <c r="B128" s="15"/>
      <c r="D128" s="12"/>
    </row>
    <row r="129" spans="1:4" ht="12.5">
      <c r="A129" s="13"/>
      <c r="B129" s="15"/>
      <c r="D129" s="12"/>
    </row>
    <row r="130" spans="1:4" ht="12.5">
      <c r="A130" s="13"/>
      <c r="B130" s="15"/>
      <c r="D130" s="12"/>
    </row>
    <row r="131" spans="1:4" ht="12.5">
      <c r="A131" s="13"/>
      <c r="B131" s="15"/>
      <c r="D131" s="12"/>
    </row>
    <row r="132" spans="1:4" ht="12.5">
      <c r="A132" s="13"/>
      <c r="B132" s="15"/>
      <c r="D132" s="12"/>
    </row>
    <row r="133" spans="1:4" ht="12.5">
      <c r="A133" s="13"/>
      <c r="B133" s="15"/>
      <c r="D133" s="12"/>
    </row>
    <row r="134" spans="1:4" ht="12.5">
      <c r="A134" s="13"/>
      <c r="B134" s="15"/>
      <c r="D134" s="12"/>
    </row>
    <row r="135" spans="1:4" ht="12.5">
      <c r="A135" s="13"/>
      <c r="B135" s="15"/>
      <c r="D135" s="12"/>
    </row>
    <row r="136" spans="1:4" ht="12.5">
      <c r="A136" s="13"/>
      <c r="B136" s="15"/>
      <c r="D136" s="12"/>
    </row>
    <row r="137" spans="1:4" ht="12.5">
      <c r="A137" s="13"/>
      <c r="B137" s="15"/>
      <c r="D137" s="12"/>
    </row>
    <row r="138" spans="1:4" ht="12.5">
      <c r="A138" s="13"/>
      <c r="B138" s="15"/>
      <c r="D138" s="12"/>
    </row>
    <row r="139" spans="1:4" ht="12.5">
      <c r="A139" s="13"/>
      <c r="B139" s="15"/>
      <c r="D139" s="12"/>
    </row>
    <row r="140" spans="1:4" ht="12.5">
      <c r="A140" s="13"/>
      <c r="B140" s="15"/>
      <c r="D140" s="12"/>
    </row>
    <row r="141" spans="1:4" ht="12.5">
      <c r="A141" s="13"/>
      <c r="B141" s="15"/>
      <c r="D141" s="12"/>
    </row>
    <row r="142" spans="1:4" ht="12.5">
      <c r="A142" s="13"/>
      <c r="B142" s="15"/>
      <c r="D142" s="12"/>
    </row>
    <row r="143" spans="1:4" ht="12.5">
      <c r="A143" s="13"/>
      <c r="B143" s="15"/>
      <c r="D143" s="12"/>
    </row>
    <row r="144" spans="1:4" ht="12.5">
      <c r="A144" s="13"/>
      <c r="B144" s="15"/>
      <c r="D144" s="12"/>
    </row>
    <row r="145" spans="1:4" ht="12.5">
      <c r="A145" s="13"/>
      <c r="B145" s="15"/>
      <c r="D145" s="12"/>
    </row>
    <row r="146" spans="1:4" ht="12.5">
      <c r="A146" s="13"/>
      <c r="B146" s="15"/>
      <c r="D146" s="12"/>
    </row>
    <row r="147" spans="1:4" ht="12.5">
      <c r="A147" s="13"/>
      <c r="B147" s="15"/>
      <c r="D147" s="12"/>
    </row>
    <row r="148" spans="1:4" ht="12.5">
      <c r="A148" s="13"/>
      <c r="B148" s="15"/>
      <c r="D148" s="12"/>
    </row>
    <row r="149" spans="1:4" ht="12.5">
      <c r="A149" s="13"/>
      <c r="B149" s="15"/>
      <c r="D149" s="12"/>
    </row>
    <row r="150" spans="1:4" ht="12.5">
      <c r="A150" s="13"/>
      <c r="B150" s="15"/>
      <c r="D150" s="12"/>
    </row>
    <row r="151" spans="1:4" ht="12.5">
      <c r="A151" s="13"/>
      <c r="B151" s="15"/>
      <c r="D151" s="12"/>
    </row>
    <row r="152" spans="1:4" ht="12.5">
      <c r="A152" s="13"/>
      <c r="B152" s="15"/>
      <c r="D152" s="12"/>
    </row>
    <row r="153" spans="1:4" ht="12.5">
      <c r="A153" s="13"/>
      <c r="B153" s="15"/>
      <c r="D153" s="12"/>
    </row>
    <row r="154" spans="1:4" ht="12.5">
      <c r="A154" s="13"/>
      <c r="B154" s="15"/>
      <c r="D154" s="12"/>
    </row>
    <row r="155" spans="1:4" ht="12.5">
      <c r="A155" s="13"/>
      <c r="B155" s="15"/>
      <c r="D155" s="12"/>
    </row>
    <row r="156" spans="1:4" ht="12.5">
      <c r="A156" s="13"/>
      <c r="B156" s="15"/>
      <c r="D156" s="12"/>
    </row>
    <row r="157" spans="1:4" ht="12.5">
      <c r="A157" s="13"/>
      <c r="B157" s="15"/>
      <c r="D157" s="12"/>
    </row>
    <row r="158" spans="1:4" ht="12.5">
      <c r="A158" s="13"/>
      <c r="B158" s="15"/>
      <c r="D158" s="12"/>
    </row>
    <row r="159" spans="1:4" ht="12.5">
      <c r="A159" s="13"/>
      <c r="B159" s="15"/>
      <c r="D159" s="12"/>
    </row>
    <row r="160" spans="1:4" ht="12.5">
      <c r="A160" s="13"/>
      <c r="B160" s="15"/>
      <c r="D160" s="12"/>
    </row>
    <row r="161" spans="1:4" ht="12.5">
      <c r="A161" s="13"/>
      <c r="B161" s="15"/>
      <c r="D161" s="12"/>
    </row>
    <row r="162" spans="1:4" ht="12.5">
      <c r="A162" s="13"/>
      <c r="B162" s="15"/>
      <c r="D162" s="12"/>
    </row>
    <row r="163" spans="1:4" ht="12.5">
      <c r="A163" s="13"/>
      <c r="B163" s="15"/>
      <c r="D163" s="12"/>
    </row>
    <row r="164" spans="1:4" ht="12.5">
      <c r="A164" s="13"/>
      <c r="B164" s="15"/>
      <c r="D164" s="12"/>
    </row>
    <row r="165" spans="1:4" ht="12.5">
      <c r="A165" s="13"/>
      <c r="B165" s="15"/>
      <c r="D165" s="12"/>
    </row>
    <row r="166" spans="1:4" ht="12.5">
      <c r="A166" s="13"/>
      <c r="B166" s="15"/>
      <c r="D166" s="12"/>
    </row>
    <row r="167" spans="1:4" ht="12.5">
      <c r="A167" s="13"/>
      <c r="B167" s="15"/>
      <c r="D167" s="12"/>
    </row>
    <row r="168" spans="1:4" ht="12.5">
      <c r="A168" s="13"/>
      <c r="B168" s="15"/>
      <c r="D168" s="12"/>
    </row>
    <row r="169" spans="1:4" ht="12.5">
      <c r="A169" s="13"/>
      <c r="B169" s="15"/>
      <c r="D169" s="12"/>
    </row>
    <row r="170" spans="1:4" ht="12.5">
      <c r="A170" s="13"/>
      <c r="B170" s="15"/>
      <c r="D170" s="12"/>
    </row>
    <row r="171" spans="1:4" ht="12.5">
      <c r="A171" s="13"/>
      <c r="B171" s="15"/>
      <c r="D171" s="12"/>
    </row>
    <row r="172" spans="1:4" ht="12.5">
      <c r="A172" s="13"/>
      <c r="B172" s="15"/>
      <c r="D172" s="12"/>
    </row>
    <row r="173" spans="1:4" ht="12.5">
      <c r="A173" s="13"/>
      <c r="B173" s="15"/>
      <c r="D173" s="12"/>
    </row>
    <row r="174" spans="1:4" ht="12.5">
      <c r="A174" s="13"/>
      <c r="B174" s="15"/>
      <c r="D174" s="12"/>
    </row>
    <row r="175" spans="1:4" ht="12.5">
      <c r="A175" s="13"/>
      <c r="B175" s="15"/>
      <c r="D175" s="12"/>
    </row>
    <row r="176" spans="1:4" ht="12.5">
      <c r="A176" s="13"/>
      <c r="B176" s="15"/>
      <c r="D176" s="12"/>
    </row>
    <row r="177" spans="1:4" ht="12.5">
      <c r="A177" s="13"/>
      <c r="B177" s="15"/>
      <c r="D177" s="12"/>
    </row>
    <row r="178" spans="1:4" ht="12.5">
      <c r="A178" s="13"/>
      <c r="B178" s="15"/>
      <c r="D178" s="12"/>
    </row>
    <row r="179" spans="1:4" ht="12.5">
      <c r="A179" s="13"/>
      <c r="B179" s="15"/>
      <c r="D179" s="12"/>
    </row>
    <row r="180" spans="1:4" ht="12.5">
      <c r="A180" s="13"/>
      <c r="B180" s="15"/>
      <c r="D180" s="12"/>
    </row>
    <row r="181" spans="1:4" ht="12.5">
      <c r="A181" s="13"/>
      <c r="B181" s="15"/>
      <c r="D181" s="12"/>
    </row>
    <row r="182" spans="1:4" ht="12.5">
      <c r="A182" s="13"/>
      <c r="B182" s="15"/>
      <c r="D182" s="12"/>
    </row>
    <row r="183" spans="1:4" ht="12.5">
      <c r="A183" s="13"/>
      <c r="B183" s="15"/>
      <c r="D183" s="12"/>
    </row>
    <row r="184" spans="1:4" ht="12.5">
      <c r="A184" s="13"/>
      <c r="B184" s="15"/>
      <c r="D184" s="12"/>
    </row>
    <row r="185" spans="1:4" ht="12.5">
      <c r="A185" s="13"/>
      <c r="B185" s="15"/>
      <c r="D185" s="12"/>
    </row>
    <row r="186" spans="1:4" ht="12.5">
      <c r="A186" s="13"/>
      <c r="B186" s="15"/>
      <c r="D186" s="12"/>
    </row>
    <row r="187" spans="1:4" ht="12.5">
      <c r="A187" s="13"/>
      <c r="B187" s="15"/>
      <c r="D187" s="12"/>
    </row>
    <row r="188" spans="1:4" ht="12.5">
      <c r="A188" s="13"/>
      <c r="B188" s="15"/>
      <c r="D188" s="12"/>
    </row>
    <row r="189" spans="1:4" ht="12.5">
      <c r="A189" s="13"/>
      <c r="B189" s="15"/>
      <c r="D189" s="12"/>
    </row>
    <row r="190" spans="1:4" ht="12.5">
      <c r="A190" s="13"/>
      <c r="B190" s="15"/>
      <c r="D190" s="12"/>
    </row>
    <row r="191" spans="1:4" ht="12.5">
      <c r="A191" s="13"/>
      <c r="B191" s="15"/>
      <c r="D191" s="12"/>
    </row>
    <row r="192" spans="1:4" ht="12.5">
      <c r="A192" s="13"/>
      <c r="B192" s="15"/>
      <c r="D192" s="12"/>
    </row>
    <row r="193" spans="1:4" ht="12.5">
      <c r="A193" s="13"/>
      <c r="B193" s="15"/>
      <c r="D193" s="12"/>
    </row>
    <row r="194" spans="1:4" ht="12.5">
      <c r="A194" s="13"/>
      <c r="B194" s="15"/>
      <c r="D194" s="12"/>
    </row>
    <row r="195" spans="1:4" ht="12.5">
      <c r="A195" s="13"/>
      <c r="B195" s="15"/>
      <c r="D195" s="12"/>
    </row>
    <row r="196" spans="1:4" ht="12.5">
      <c r="A196" s="13"/>
      <c r="B196" s="15"/>
      <c r="D196" s="12"/>
    </row>
    <row r="197" spans="1:4" ht="12.5">
      <c r="A197" s="13"/>
      <c r="B197" s="15"/>
      <c r="D197" s="12"/>
    </row>
    <row r="198" spans="1:4" ht="12.5">
      <c r="A198" s="13"/>
      <c r="B198" s="15"/>
      <c r="D198" s="12"/>
    </row>
    <row r="199" spans="1:4" ht="12.5">
      <c r="A199" s="13"/>
      <c r="B199" s="15"/>
      <c r="D199" s="12"/>
    </row>
    <row r="200" spans="1:4" ht="12.5">
      <c r="A200" s="13"/>
      <c r="B200" s="15"/>
      <c r="D200" s="12"/>
    </row>
    <row r="201" spans="1:4" ht="12.5">
      <c r="A201" s="13"/>
      <c r="B201" s="15"/>
      <c r="D201" s="12"/>
    </row>
    <row r="202" spans="1:4" ht="12.5">
      <c r="A202" s="13"/>
      <c r="B202" s="15"/>
      <c r="D202" s="12"/>
    </row>
    <row r="203" spans="1:4" ht="12.5">
      <c r="A203" s="13"/>
      <c r="B203" s="15"/>
      <c r="D203" s="12"/>
    </row>
    <row r="204" spans="1:4" ht="12.5">
      <c r="A204" s="13"/>
      <c r="B204" s="15"/>
      <c r="D204" s="12"/>
    </row>
    <row r="205" spans="1:4" ht="12.5">
      <c r="A205" s="13"/>
      <c r="B205" s="15"/>
      <c r="D205" s="12"/>
    </row>
    <row r="206" spans="1:4" ht="12.5">
      <c r="A206" s="13"/>
      <c r="B206" s="15"/>
      <c r="D206" s="12"/>
    </row>
    <row r="207" spans="1:4" ht="12.5">
      <c r="A207" s="13"/>
      <c r="B207" s="15"/>
      <c r="D207" s="12"/>
    </row>
    <row r="208" spans="1:4" ht="12.5">
      <c r="A208" s="13"/>
      <c r="B208" s="15"/>
      <c r="D208" s="12"/>
    </row>
    <row r="209" spans="1:4" ht="12.5">
      <c r="A209" s="13"/>
      <c r="B209" s="15"/>
      <c r="D209" s="12"/>
    </row>
    <row r="210" spans="1:4" ht="12.5">
      <c r="A210" s="13"/>
      <c r="B210" s="15"/>
      <c r="D210" s="12"/>
    </row>
    <row r="211" spans="1:4" ht="12.5">
      <c r="A211" s="13"/>
      <c r="B211" s="15"/>
      <c r="D211" s="12"/>
    </row>
    <row r="212" spans="1:4" ht="12.5">
      <c r="A212" s="13"/>
      <c r="B212" s="15"/>
      <c r="D212" s="12"/>
    </row>
    <row r="213" spans="1:4" ht="12.5">
      <c r="A213" s="13"/>
      <c r="B213" s="15"/>
      <c r="D213" s="12"/>
    </row>
    <row r="214" spans="1:4" ht="12.5">
      <c r="A214" s="13"/>
      <c r="B214" s="15"/>
      <c r="D214" s="12"/>
    </row>
    <row r="215" spans="1:4" ht="12.5">
      <c r="A215" s="13"/>
      <c r="B215" s="15"/>
      <c r="D215" s="12"/>
    </row>
    <row r="216" spans="1:4" ht="12.5">
      <c r="A216" s="13"/>
      <c r="B216" s="15"/>
      <c r="D216" s="12"/>
    </row>
    <row r="217" spans="1:4" ht="12.5">
      <c r="A217" s="13"/>
      <c r="B217" s="15"/>
      <c r="D217" s="12"/>
    </row>
    <row r="218" spans="1:4" ht="12.5">
      <c r="A218" s="13"/>
      <c r="B218" s="15"/>
      <c r="D218" s="12"/>
    </row>
    <row r="219" spans="1:4" ht="12.5">
      <c r="A219" s="13"/>
      <c r="B219" s="15"/>
      <c r="D219" s="12"/>
    </row>
    <row r="220" spans="1:4" ht="12.5">
      <c r="A220" s="13"/>
      <c r="B220" s="15"/>
      <c r="D220" s="12"/>
    </row>
    <row r="221" spans="1:4" ht="12.5">
      <c r="A221" s="13"/>
      <c r="B221" s="15"/>
      <c r="D221" s="12"/>
    </row>
    <row r="222" spans="1:4" ht="12.5">
      <c r="A222" s="13"/>
      <c r="B222" s="15"/>
      <c r="D222" s="12"/>
    </row>
    <row r="223" spans="1:4" ht="12.5">
      <c r="A223" s="16"/>
      <c r="B223" s="15"/>
      <c r="D223" s="12"/>
    </row>
    <row r="224" spans="1:4" ht="12.5">
      <c r="A224" s="16"/>
      <c r="B224" s="15"/>
      <c r="D224" s="12"/>
    </row>
    <row r="225" spans="1:4" ht="12.5">
      <c r="A225" s="16"/>
      <c r="B225" s="15"/>
      <c r="D225" s="12"/>
    </row>
    <row r="226" spans="1:4" ht="12.5">
      <c r="A226" s="16"/>
      <c r="B226" s="15"/>
      <c r="D226" s="12"/>
    </row>
    <row r="227" spans="1:4" ht="12.5">
      <c r="A227" s="16"/>
      <c r="B227" s="15"/>
      <c r="D227" s="12"/>
    </row>
    <row r="228" spans="1:4" ht="12.5">
      <c r="A228" s="16"/>
      <c r="B228" s="15"/>
      <c r="D228" s="12"/>
    </row>
    <row r="229" spans="1:4" ht="12.5">
      <c r="A229" s="16"/>
      <c r="B229" s="15"/>
      <c r="D229" s="12"/>
    </row>
    <row r="230" spans="1:4" ht="12.5">
      <c r="A230" s="16"/>
      <c r="B230" s="15"/>
      <c r="D230" s="12"/>
    </row>
    <row r="231" spans="1:4" ht="12.5">
      <c r="A231" s="16"/>
      <c r="B231" s="15"/>
      <c r="D231" s="12"/>
    </row>
    <row r="232" spans="1:4" ht="12.5">
      <c r="A232" s="16"/>
      <c r="B232" s="15"/>
      <c r="D232" s="12"/>
    </row>
    <row r="233" spans="1:4" ht="12.5">
      <c r="A233" s="16"/>
      <c r="B233" s="15"/>
      <c r="D233" s="12"/>
    </row>
    <row r="234" spans="1:4" ht="12.5">
      <c r="A234" s="16"/>
      <c r="B234" s="15"/>
      <c r="D234" s="12"/>
    </row>
    <row r="235" spans="1:4" ht="12.5">
      <c r="A235" s="16"/>
      <c r="B235" s="15"/>
      <c r="D235" s="12"/>
    </row>
    <row r="236" spans="1:4" ht="12.5">
      <c r="A236" s="16"/>
      <c r="B236" s="15"/>
      <c r="D236" s="12"/>
    </row>
    <row r="237" spans="1:4" ht="12.5">
      <c r="A237" s="16"/>
      <c r="B237" s="15"/>
      <c r="D237" s="12"/>
    </row>
    <row r="238" spans="1:4" ht="12.5">
      <c r="A238" s="16"/>
      <c r="B238" s="15"/>
      <c r="D238" s="12"/>
    </row>
    <row r="239" spans="1:4" ht="12.5">
      <c r="A239" s="16"/>
      <c r="B239" s="15"/>
      <c r="D239" s="12"/>
    </row>
    <row r="240" spans="1:4" ht="12.5">
      <c r="A240" s="16"/>
      <c r="B240" s="15"/>
      <c r="D240" s="12"/>
    </row>
    <row r="241" spans="1:26" ht="12.5">
      <c r="A241" s="16"/>
      <c r="B241" s="15"/>
      <c r="D241" s="12"/>
    </row>
    <row r="242" spans="1:26" ht="12.5">
      <c r="A242" s="16"/>
      <c r="B242" s="15"/>
      <c r="D242" s="12"/>
    </row>
    <row r="243" spans="1:26" ht="12.5">
      <c r="A243" s="16"/>
      <c r="B243" s="15"/>
      <c r="D243" s="12"/>
    </row>
    <row r="244" spans="1:26" ht="12.5">
      <c r="A244" s="16"/>
      <c r="B244" s="15"/>
      <c r="D244" s="12"/>
    </row>
    <row r="245" spans="1:26" ht="12.5">
      <c r="A245" s="16"/>
      <c r="B245" s="15"/>
      <c r="D245" s="12"/>
    </row>
    <row r="246" spans="1:26" ht="12.5">
      <c r="A246" s="16"/>
      <c r="B246" s="15"/>
      <c r="D246" s="12"/>
    </row>
    <row r="247" spans="1:26" ht="12.5">
      <c r="A247" s="16"/>
      <c r="B247" s="15"/>
      <c r="D247" s="12"/>
    </row>
    <row r="248" spans="1:26" ht="12.5">
      <c r="A248" s="16"/>
      <c r="B248" s="15"/>
      <c r="D248" s="12"/>
    </row>
    <row r="249" spans="1:26" ht="12.5">
      <c r="A249" s="16"/>
      <c r="B249" s="15"/>
      <c r="D249" s="12"/>
    </row>
    <row r="250" spans="1:26" ht="12.5">
      <c r="A250" s="16"/>
      <c r="B250" s="15"/>
      <c r="D250" s="12"/>
    </row>
    <row r="251" spans="1:26" ht="12.5">
      <c r="A251" s="16"/>
      <c r="B251" s="17"/>
      <c r="C251" s="13"/>
      <c r="D251" s="18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2.5">
      <c r="A252" s="16"/>
      <c r="B252" s="17"/>
      <c r="C252" s="13"/>
      <c r="D252" s="18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2.5">
      <c r="A253" s="16"/>
      <c r="B253" s="17"/>
      <c r="C253" s="13"/>
      <c r="D253" s="18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2.5">
      <c r="A254" s="16"/>
      <c r="B254" s="17"/>
      <c r="C254" s="13"/>
      <c r="D254" s="18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2.5">
      <c r="A255" s="16"/>
      <c r="B255" s="17"/>
      <c r="C255" s="13"/>
      <c r="D255" s="18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2.5">
      <c r="A256" s="16"/>
      <c r="B256" s="17"/>
      <c r="C256" s="13"/>
      <c r="D256" s="18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2.5">
      <c r="A257" s="16"/>
      <c r="B257" s="17"/>
      <c r="C257" s="13"/>
      <c r="D257" s="18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2.5">
      <c r="A258" s="16"/>
      <c r="B258" s="17"/>
      <c r="C258" s="13"/>
      <c r="D258" s="18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2.5">
      <c r="A259" s="16"/>
      <c r="B259" s="17"/>
      <c r="C259" s="13"/>
      <c r="D259" s="18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2.5">
      <c r="A260" s="16"/>
      <c r="B260" s="17"/>
      <c r="C260" s="13"/>
      <c r="D260" s="18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2.5">
      <c r="A261" s="16"/>
      <c r="B261" s="17"/>
      <c r="C261" s="13"/>
      <c r="D261" s="18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2.5">
      <c r="A262" s="16"/>
      <c r="B262" s="17"/>
      <c r="C262" s="13"/>
      <c r="D262" s="18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2.5">
      <c r="A263" s="16"/>
      <c r="B263" s="17"/>
      <c r="C263" s="13"/>
      <c r="D263" s="18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2.5">
      <c r="A264" s="16"/>
      <c r="B264" s="17"/>
      <c r="C264" s="13"/>
      <c r="D264" s="18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2.5">
      <c r="A265" s="16"/>
      <c r="B265" s="17"/>
      <c r="C265" s="13"/>
      <c r="D265" s="18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2.5">
      <c r="A266" s="16"/>
      <c r="B266" s="17"/>
      <c r="C266" s="13"/>
      <c r="D266" s="18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2.5">
      <c r="A267" s="16"/>
      <c r="B267" s="17"/>
      <c r="C267" s="13"/>
      <c r="D267" s="18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2.5">
      <c r="A268" s="16"/>
      <c r="B268" s="17"/>
      <c r="C268" s="13"/>
      <c r="D268" s="18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2.5">
      <c r="A269" s="16"/>
      <c r="B269" s="17"/>
      <c r="C269" s="13"/>
      <c r="D269" s="18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2.5">
      <c r="A270" s="16"/>
      <c r="B270" s="17"/>
      <c r="C270" s="13"/>
      <c r="D270" s="18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2.5">
      <c r="A271" s="16"/>
      <c r="B271" s="17"/>
      <c r="C271" s="13"/>
      <c r="D271" s="18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2.5">
      <c r="A272" s="16"/>
      <c r="B272" s="17"/>
      <c r="C272" s="13"/>
      <c r="D272" s="18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2.5">
      <c r="A273" s="16"/>
      <c r="B273" s="17"/>
      <c r="C273" s="13"/>
      <c r="D273" s="18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2.5">
      <c r="A274" s="16"/>
      <c r="B274" s="17"/>
      <c r="C274" s="13"/>
      <c r="D274" s="18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2.5">
      <c r="A275" s="16"/>
      <c r="B275" s="17"/>
      <c r="C275" s="13"/>
      <c r="D275" s="18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2.5">
      <c r="A276" s="16"/>
      <c r="B276" s="17"/>
      <c r="C276" s="13"/>
      <c r="D276" s="18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2.5">
      <c r="A277" s="16"/>
      <c r="B277" s="17"/>
      <c r="C277" s="13"/>
      <c r="D277" s="18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2.5">
      <c r="A278" s="16"/>
      <c r="B278" s="17"/>
      <c r="C278" s="13"/>
      <c r="D278" s="18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2.5">
      <c r="A279" s="16"/>
      <c r="B279" s="17"/>
      <c r="C279" s="13"/>
      <c r="D279" s="18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2.5">
      <c r="A280" s="16"/>
      <c r="B280" s="17"/>
      <c r="C280" s="13"/>
      <c r="D280" s="18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2.5">
      <c r="A281" s="16"/>
      <c r="B281" s="17"/>
      <c r="C281" s="13"/>
      <c r="D281" s="18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2.5">
      <c r="A282" s="16"/>
      <c r="B282" s="17"/>
      <c r="C282" s="13"/>
      <c r="D282" s="18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2.5">
      <c r="A283" s="16"/>
      <c r="B283" s="17"/>
      <c r="C283" s="13"/>
      <c r="D283" s="18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2.5">
      <c r="A284" s="16"/>
      <c r="B284" s="17"/>
      <c r="C284" s="13"/>
      <c r="D284" s="18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2.5">
      <c r="A285" s="16"/>
      <c r="B285" s="17"/>
      <c r="C285" s="13"/>
      <c r="D285" s="18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2.5">
      <c r="A286" s="16"/>
      <c r="B286" s="17"/>
      <c r="C286" s="13"/>
      <c r="D286" s="18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2.5">
      <c r="A287" s="16"/>
      <c r="B287" s="17"/>
      <c r="C287" s="13"/>
      <c r="D287" s="18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2.5">
      <c r="A288" s="16"/>
      <c r="B288" s="17"/>
      <c r="C288" s="13"/>
      <c r="D288" s="18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2.5">
      <c r="A289" s="16"/>
      <c r="B289" s="17"/>
      <c r="C289" s="13"/>
      <c r="D289" s="18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2.5">
      <c r="A290" s="16"/>
      <c r="B290" s="17"/>
      <c r="C290" s="13"/>
      <c r="D290" s="18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2.5">
      <c r="A291" s="16"/>
      <c r="B291" s="17"/>
      <c r="C291" s="13"/>
      <c r="D291" s="18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2.5">
      <c r="A292" s="16"/>
      <c r="B292" s="17"/>
      <c r="C292" s="13"/>
      <c r="D292" s="18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2.5">
      <c r="A293" s="16"/>
      <c r="B293" s="17"/>
      <c r="C293" s="13"/>
      <c r="D293" s="18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2.5">
      <c r="A294" s="16"/>
      <c r="B294" s="17"/>
      <c r="C294" s="13"/>
      <c r="D294" s="18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2.5">
      <c r="A295" s="16"/>
      <c r="B295" s="17"/>
      <c r="C295" s="13"/>
      <c r="D295" s="18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2.5">
      <c r="A296" s="16"/>
      <c r="B296" s="17"/>
      <c r="C296" s="13"/>
      <c r="D296" s="18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2.5">
      <c r="A297" s="16"/>
      <c r="B297" s="17"/>
      <c r="C297" s="13"/>
      <c r="D297" s="18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2.5">
      <c r="A298" s="16"/>
      <c r="B298" s="17"/>
      <c r="C298" s="13"/>
      <c r="D298" s="18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2.5">
      <c r="A299" s="16"/>
      <c r="B299" s="17"/>
      <c r="C299" s="13"/>
      <c r="D299" s="18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2.5">
      <c r="A300" s="16"/>
      <c r="B300" s="17"/>
      <c r="C300" s="13"/>
      <c r="D300" s="18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2.5">
      <c r="A301" s="16"/>
      <c r="B301" s="17"/>
      <c r="C301" s="13"/>
      <c r="D301" s="18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2.5">
      <c r="A302" s="16"/>
      <c r="B302" s="19"/>
      <c r="C302" s="16"/>
      <c r="D302" s="20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2.5">
      <c r="A303" s="16"/>
      <c r="B303" s="17"/>
      <c r="C303" s="13"/>
      <c r="D303" s="18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2.5">
      <c r="A304" s="16"/>
      <c r="B304" s="17"/>
      <c r="C304" s="13"/>
      <c r="D304" s="18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2.5">
      <c r="A305" s="16"/>
      <c r="B305" s="17"/>
      <c r="C305" s="13"/>
      <c r="D305" s="18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2.5">
      <c r="A306" s="16"/>
      <c r="B306" s="17"/>
      <c r="C306" s="13"/>
      <c r="D306" s="18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2.5">
      <c r="A307" s="16"/>
      <c r="B307" s="17"/>
      <c r="C307" s="13"/>
      <c r="D307" s="18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2.5">
      <c r="A308" s="16"/>
      <c r="B308" s="17"/>
      <c r="C308" s="13"/>
      <c r="D308" s="18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2.5">
      <c r="A309" s="16"/>
      <c r="B309" s="17"/>
      <c r="C309" s="13"/>
      <c r="D309" s="18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2.5">
      <c r="A310" s="16"/>
      <c r="B310" s="17"/>
      <c r="C310" s="13"/>
      <c r="D310" s="18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2.5">
      <c r="A311" s="16"/>
      <c r="B311" s="17"/>
      <c r="C311" s="13"/>
      <c r="D311" s="18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2.5">
      <c r="A312" s="16"/>
      <c r="B312" s="17"/>
      <c r="C312" s="13"/>
      <c r="D312" s="18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2.5">
      <c r="A313" s="16"/>
      <c r="B313" s="17"/>
      <c r="C313" s="13"/>
      <c r="D313" s="18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2.5">
      <c r="A314" s="16"/>
      <c r="B314" s="15"/>
      <c r="D314" s="12"/>
    </row>
    <row r="315" spans="1:26" ht="12.5">
      <c r="A315" s="13"/>
      <c r="B315" s="15"/>
      <c r="D315" s="12"/>
    </row>
    <row r="316" spans="1:26" ht="12.5">
      <c r="A316" s="13"/>
      <c r="B316" s="15"/>
      <c r="D316" s="12"/>
    </row>
    <row r="317" spans="1:26" ht="12.5">
      <c r="A317" s="13"/>
      <c r="B317" s="15"/>
      <c r="D317" s="12"/>
    </row>
    <row r="318" spans="1:26" ht="12.5">
      <c r="A318" s="13"/>
      <c r="B318" s="15"/>
      <c r="D318" s="12"/>
    </row>
    <row r="319" spans="1:26" ht="12.5">
      <c r="A319" s="13"/>
      <c r="B319" s="15"/>
      <c r="D319" s="12"/>
    </row>
    <row r="320" spans="1:26" ht="12.5">
      <c r="A320" s="13"/>
      <c r="B320" s="15"/>
      <c r="D320" s="12"/>
    </row>
    <row r="321" spans="1:4" ht="12.5">
      <c r="A321" s="13"/>
      <c r="B321" s="15"/>
      <c r="D321" s="12"/>
    </row>
    <row r="322" spans="1:4" ht="12.5">
      <c r="A322" s="13"/>
      <c r="B322" s="15"/>
      <c r="D322" s="12"/>
    </row>
    <row r="323" spans="1:4" ht="12.5">
      <c r="A323" s="13"/>
      <c r="B323" s="15"/>
      <c r="D323" s="12"/>
    </row>
    <row r="324" spans="1:4" ht="12.5">
      <c r="A324" s="13"/>
      <c r="B324" s="15"/>
      <c r="D324" s="12"/>
    </row>
    <row r="325" spans="1:4" ht="12.5">
      <c r="A325" s="13"/>
      <c r="B325" s="15"/>
      <c r="D325" s="12"/>
    </row>
    <row r="326" spans="1:4" ht="12.5">
      <c r="A326" s="13"/>
      <c r="B326" s="15"/>
      <c r="D326" s="12"/>
    </row>
    <row r="327" spans="1:4" ht="12.5">
      <c r="A327" s="13"/>
      <c r="B327" s="15"/>
      <c r="D327" s="12"/>
    </row>
    <row r="328" spans="1:4" ht="12.5">
      <c r="A328" s="13"/>
      <c r="B328" s="15"/>
      <c r="D328" s="12"/>
    </row>
    <row r="329" spans="1:4" ht="12.5">
      <c r="A329" s="13"/>
      <c r="B329" s="15"/>
      <c r="D329" s="12"/>
    </row>
    <row r="330" spans="1:4" ht="12.5">
      <c r="A330" s="13"/>
      <c r="B330" s="15"/>
      <c r="D330" s="12"/>
    </row>
    <row r="331" spans="1:4" ht="12.5">
      <c r="A331" s="13"/>
      <c r="B331" s="15"/>
      <c r="D331" s="12"/>
    </row>
    <row r="332" spans="1:4" ht="12.5">
      <c r="A332" s="13"/>
      <c r="B332" s="15"/>
      <c r="D332" s="12"/>
    </row>
    <row r="333" spans="1:4" ht="12.5">
      <c r="A333" s="16"/>
      <c r="B333" s="15"/>
      <c r="D333" s="12"/>
    </row>
    <row r="334" spans="1:4" ht="12.5">
      <c r="A334" s="13"/>
      <c r="B334" s="15"/>
      <c r="D334" s="12"/>
    </row>
    <row r="335" spans="1:4" ht="12.5">
      <c r="B335" s="15"/>
      <c r="D335" s="12"/>
    </row>
    <row r="336" spans="1:4" ht="12.5">
      <c r="B336" s="15"/>
      <c r="D336" s="12"/>
    </row>
    <row r="337" spans="2:4" ht="12.5">
      <c r="B337" s="15"/>
      <c r="D337" s="12"/>
    </row>
    <row r="338" spans="2:4" ht="12.5">
      <c r="B338" s="15"/>
      <c r="D338" s="12"/>
    </row>
    <row r="339" spans="2:4" ht="12.5">
      <c r="B339" s="15"/>
      <c r="D339" s="12"/>
    </row>
    <row r="340" spans="2:4" ht="12.5">
      <c r="B340" s="15"/>
      <c r="D340" s="12"/>
    </row>
    <row r="341" spans="2:4" ht="12.5">
      <c r="B341" s="15"/>
      <c r="D341" s="12"/>
    </row>
    <row r="342" spans="2:4" ht="12.5">
      <c r="B342" s="15"/>
      <c r="D342" s="12"/>
    </row>
    <row r="343" spans="2:4" ht="12.5">
      <c r="B343" s="15"/>
      <c r="D343" s="12"/>
    </row>
    <row r="344" spans="2:4" ht="12.5">
      <c r="B344" s="15"/>
      <c r="D344" s="12"/>
    </row>
    <row r="345" spans="2:4" ht="12.5">
      <c r="B345" s="15"/>
      <c r="D345" s="12"/>
    </row>
    <row r="346" spans="2:4" ht="12.5">
      <c r="B346" s="15"/>
      <c r="D346" s="12"/>
    </row>
    <row r="347" spans="2:4" ht="12.5">
      <c r="B347" s="15"/>
      <c r="D347" s="12"/>
    </row>
    <row r="348" spans="2:4" ht="12.5">
      <c r="B348" s="15"/>
      <c r="D348" s="12"/>
    </row>
    <row r="349" spans="2:4" ht="12.5">
      <c r="B349" s="15"/>
      <c r="D349" s="12"/>
    </row>
    <row r="350" spans="2:4" ht="12.5">
      <c r="B350" s="15"/>
      <c r="D350" s="12"/>
    </row>
    <row r="351" spans="2:4" ht="12.5">
      <c r="B351" s="15"/>
      <c r="D351" s="12"/>
    </row>
    <row r="352" spans="2:4" ht="12.5">
      <c r="B352" s="15"/>
      <c r="D352" s="12"/>
    </row>
    <row r="353" spans="2:4" ht="12.5">
      <c r="B353" s="15"/>
      <c r="D353" s="12"/>
    </row>
    <row r="354" spans="2:4" ht="12.5">
      <c r="B354" s="15"/>
      <c r="D354" s="12"/>
    </row>
    <row r="355" spans="2:4" ht="12.5">
      <c r="B355" s="15"/>
      <c r="D355" s="12"/>
    </row>
    <row r="356" spans="2:4" ht="12.5">
      <c r="B356" s="15"/>
      <c r="D356" s="12"/>
    </row>
    <row r="357" spans="2:4" ht="12.5">
      <c r="B357" s="15"/>
      <c r="D357" s="12"/>
    </row>
    <row r="358" spans="2:4" ht="12.5">
      <c r="B358" s="15"/>
      <c r="D358" s="12"/>
    </row>
    <row r="359" spans="2:4" ht="12.5">
      <c r="B359" s="15"/>
      <c r="D359" s="12"/>
    </row>
    <row r="360" spans="2:4" ht="12.5">
      <c r="B360" s="15"/>
      <c r="D360" s="12"/>
    </row>
    <row r="361" spans="2:4" ht="12.5">
      <c r="B361" s="15"/>
      <c r="D361" s="12"/>
    </row>
    <row r="362" spans="2:4" ht="12.5">
      <c r="B362" s="15"/>
      <c r="D362" s="12"/>
    </row>
    <row r="363" spans="2:4" ht="12.5">
      <c r="B363" s="15"/>
      <c r="D363" s="12"/>
    </row>
    <row r="364" spans="2:4" ht="12.5">
      <c r="B364" s="15"/>
      <c r="D364" s="12"/>
    </row>
    <row r="365" spans="2:4" ht="12.5">
      <c r="B365" s="15"/>
      <c r="D365" s="12"/>
    </row>
    <row r="366" spans="2:4" ht="12.5">
      <c r="B366" s="15"/>
      <c r="D366" s="12"/>
    </row>
    <row r="367" spans="2:4" ht="12.5">
      <c r="B367" s="15"/>
      <c r="D367" s="12"/>
    </row>
    <row r="368" spans="2:4" ht="12.5">
      <c r="B368" s="15"/>
      <c r="D368" s="12"/>
    </row>
    <row r="369" spans="2:4" ht="12.5">
      <c r="B369" s="15"/>
      <c r="D369" s="12"/>
    </row>
    <row r="370" spans="2:4" ht="12.5">
      <c r="B370" s="15"/>
      <c r="D370" s="12"/>
    </row>
    <row r="371" spans="2:4" ht="12.5">
      <c r="B371" s="15"/>
      <c r="D371" s="12"/>
    </row>
    <row r="372" spans="2:4" ht="12.5">
      <c r="B372" s="15"/>
      <c r="D372" s="12"/>
    </row>
    <row r="373" spans="2:4" ht="12.5">
      <c r="B373" s="15"/>
      <c r="D373" s="12"/>
    </row>
    <row r="374" spans="2:4" ht="12.5">
      <c r="B374" s="15"/>
      <c r="D374" s="12"/>
    </row>
    <row r="375" spans="2:4" ht="12.5">
      <c r="B375" s="15"/>
      <c r="D375" s="12"/>
    </row>
    <row r="376" spans="2:4" ht="12.5">
      <c r="B376" s="15"/>
      <c r="D376" s="12"/>
    </row>
    <row r="377" spans="2:4" ht="12.5">
      <c r="B377" s="15"/>
      <c r="D377" s="12"/>
    </row>
    <row r="378" spans="2:4" ht="12.5">
      <c r="B378" s="15"/>
      <c r="D378" s="12"/>
    </row>
    <row r="379" spans="2:4" ht="12.5">
      <c r="B379" s="15"/>
      <c r="D379" s="12"/>
    </row>
    <row r="380" spans="2:4" ht="12.5">
      <c r="B380" s="15"/>
      <c r="D380" s="12"/>
    </row>
    <row r="381" spans="2:4" ht="12.5">
      <c r="B381" s="15"/>
      <c r="D381" s="12"/>
    </row>
    <row r="382" spans="2:4" ht="12.5">
      <c r="B382" s="15"/>
      <c r="D382" s="12"/>
    </row>
    <row r="383" spans="2:4" ht="12.5">
      <c r="B383" s="15"/>
      <c r="D383" s="12"/>
    </row>
    <row r="384" spans="2:4" ht="12.5">
      <c r="B384" s="15"/>
      <c r="D384" s="12"/>
    </row>
    <row r="385" spans="2:4" ht="12.5">
      <c r="B385" s="15"/>
      <c r="D385" s="12"/>
    </row>
    <row r="386" spans="2:4" ht="12.5">
      <c r="B386" s="15"/>
      <c r="D386" s="12"/>
    </row>
    <row r="387" spans="2:4" ht="12.5">
      <c r="B387" s="15"/>
      <c r="D387" s="12"/>
    </row>
    <row r="388" spans="2:4" ht="12.5">
      <c r="B388" s="15"/>
      <c r="D388" s="12"/>
    </row>
    <row r="389" spans="2:4" ht="12.5">
      <c r="B389" s="15"/>
      <c r="D389" s="12"/>
    </row>
    <row r="390" spans="2:4" ht="12.5">
      <c r="B390" s="15"/>
      <c r="D390" s="12"/>
    </row>
    <row r="391" spans="2:4" ht="12.5">
      <c r="B391" s="15"/>
      <c r="D391" s="12"/>
    </row>
    <row r="392" spans="2:4" ht="12.5">
      <c r="B392" s="15"/>
      <c r="D392" s="12"/>
    </row>
    <row r="393" spans="2:4" ht="12.5">
      <c r="B393" s="15"/>
      <c r="D393" s="12"/>
    </row>
    <row r="394" spans="2:4" ht="12.5">
      <c r="B394" s="15"/>
      <c r="D394" s="12"/>
    </row>
    <row r="395" spans="2:4" ht="12.5">
      <c r="B395" s="15"/>
      <c r="D395" s="12"/>
    </row>
    <row r="396" spans="2:4" ht="12.5">
      <c r="B396" s="15"/>
      <c r="D396" s="12"/>
    </row>
    <row r="397" spans="2:4" ht="12.5">
      <c r="B397" s="15"/>
      <c r="D397" s="12"/>
    </row>
    <row r="398" spans="2:4" ht="12.5">
      <c r="B398" s="15"/>
      <c r="D398" s="12"/>
    </row>
    <row r="399" spans="2:4" ht="12.5">
      <c r="B399" s="15"/>
      <c r="D399" s="12"/>
    </row>
    <row r="400" spans="2:4" ht="12.5">
      <c r="B400" s="15"/>
      <c r="D400" s="12"/>
    </row>
    <row r="401" spans="2:4" ht="12.5">
      <c r="B401" s="15"/>
      <c r="D401" s="12"/>
    </row>
    <row r="402" spans="2:4" ht="12.5">
      <c r="B402" s="15"/>
      <c r="D402" s="12"/>
    </row>
    <row r="403" spans="2:4" ht="12.5">
      <c r="B403" s="15"/>
      <c r="D403" s="12"/>
    </row>
    <row r="404" spans="2:4" ht="12.5">
      <c r="B404" s="15"/>
      <c r="D404" s="12"/>
    </row>
    <row r="405" spans="2:4" ht="12.5">
      <c r="B405" s="15"/>
      <c r="D405" s="12"/>
    </row>
    <row r="406" spans="2:4" ht="12.5">
      <c r="B406" s="15"/>
      <c r="D406" s="12"/>
    </row>
    <row r="407" spans="2:4" ht="12.5">
      <c r="B407" s="15"/>
      <c r="D407" s="12"/>
    </row>
    <row r="408" spans="2:4" ht="12.5">
      <c r="B408" s="15"/>
      <c r="D408" s="12"/>
    </row>
    <row r="409" spans="2:4" ht="12.5">
      <c r="B409" s="15"/>
      <c r="D409" s="12"/>
    </row>
    <row r="410" spans="2:4" ht="12.5">
      <c r="B410" s="15"/>
      <c r="D410" s="12"/>
    </row>
    <row r="411" spans="2:4" ht="12.5">
      <c r="B411" s="15"/>
      <c r="D411" s="12"/>
    </row>
    <row r="412" spans="2:4" ht="12.5">
      <c r="B412" s="15"/>
      <c r="D412" s="12"/>
    </row>
    <row r="413" spans="2:4" ht="12.5">
      <c r="B413" s="15"/>
      <c r="D413" s="12"/>
    </row>
    <row r="414" spans="2:4" ht="12.5">
      <c r="B414" s="15"/>
      <c r="D414" s="12"/>
    </row>
    <row r="415" spans="2:4" ht="12.5">
      <c r="B415" s="15"/>
      <c r="D415" s="12"/>
    </row>
    <row r="416" spans="2:4" ht="12.5">
      <c r="B416" s="15"/>
      <c r="D416" s="12"/>
    </row>
    <row r="417" spans="2:4" ht="12.5">
      <c r="B417" s="15"/>
      <c r="D417" s="12"/>
    </row>
    <row r="418" spans="2:4" ht="12.5">
      <c r="B418" s="15"/>
      <c r="D418" s="12"/>
    </row>
    <row r="419" spans="2:4" ht="12.5">
      <c r="B419" s="15"/>
      <c r="D419" s="12"/>
    </row>
    <row r="420" spans="2:4" ht="12.5">
      <c r="B420" s="15"/>
      <c r="D420" s="12"/>
    </row>
    <row r="421" spans="2:4" ht="12.5">
      <c r="B421" s="15"/>
      <c r="D421" s="12"/>
    </row>
    <row r="422" spans="2:4" ht="12.5">
      <c r="B422" s="15"/>
      <c r="D422" s="12"/>
    </row>
    <row r="423" spans="2:4" ht="12.5">
      <c r="B423" s="15"/>
      <c r="D423" s="12"/>
    </row>
    <row r="424" spans="2:4" ht="12.5">
      <c r="B424" s="15"/>
      <c r="D424" s="12"/>
    </row>
    <row r="425" spans="2:4" ht="12.5">
      <c r="B425" s="15"/>
      <c r="D425" s="12"/>
    </row>
    <row r="426" spans="2:4" ht="12.5">
      <c r="B426" s="15"/>
      <c r="D426" s="12"/>
    </row>
    <row r="427" spans="2:4" ht="12.5">
      <c r="B427" s="15"/>
      <c r="D427" s="12"/>
    </row>
    <row r="428" spans="2:4" ht="12.5">
      <c r="B428" s="15"/>
      <c r="D428" s="12"/>
    </row>
    <row r="429" spans="2:4" ht="12.5">
      <c r="B429" s="15"/>
      <c r="D429" s="12"/>
    </row>
    <row r="430" spans="2:4" ht="12.5">
      <c r="B430" s="15"/>
      <c r="D430" s="12"/>
    </row>
    <row r="431" spans="2:4" ht="12.5">
      <c r="B431" s="15"/>
      <c r="D431" s="12"/>
    </row>
    <row r="432" spans="2:4" ht="12.5">
      <c r="B432" s="15"/>
      <c r="D432" s="12"/>
    </row>
    <row r="433" spans="2:4" ht="12.5">
      <c r="B433" s="15"/>
      <c r="D433" s="12"/>
    </row>
    <row r="434" spans="2:4" ht="12.5">
      <c r="B434" s="15"/>
      <c r="D434" s="12"/>
    </row>
    <row r="435" spans="2:4" ht="12.5">
      <c r="B435" s="15"/>
      <c r="D435" s="12"/>
    </row>
    <row r="436" spans="2:4" ht="12.5">
      <c r="B436" s="15"/>
      <c r="D436" s="12"/>
    </row>
    <row r="437" spans="2:4" ht="12.5">
      <c r="B437" s="15"/>
      <c r="D437" s="12"/>
    </row>
    <row r="438" spans="2:4" ht="12.5">
      <c r="B438" s="15"/>
      <c r="D438" s="12"/>
    </row>
    <row r="439" spans="2:4" ht="12.5">
      <c r="B439" s="15"/>
      <c r="D439" s="12"/>
    </row>
    <row r="440" spans="2:4" ht="12.5">
      <c r="B440" s="15"/>
      <c r="D440" s="12"/>
    </row>
    <row r="441" spans="2:4" ht="12.5">
      <c r="B441" s="15"/>
      <c r="D441" s="12"/>
    </row>
    <row r="442" spans="2:4" ht="12.5">
      <c r="B442" s="15"/>
      <c r="D442" s="12"/>
    </row>
    <row r="443" spans="2:4" ht="12.5">
      <c r="B443" s="15"/>
      <c r="D443" s="12"/>
    </row>
    <row r="444" spans="2:4" ht="12.5">
      <c r="B444" s="15"/>
      <c r="D444" s="12"/>
    </row>
    <row r="445" spans="2:4" ht="12.5">
      <c r="B445" s="15"/>
      <c r="D445" s="12"/>
    </row>
    <row r="446" spans="2:4" ht="12.5">
      <c r="B446" s="15"/>
      <c r="D446" s="12"/>
    </row>
    <row r="447" spans="2:4" ht="12.5">
      <c r="B447" s="15"/>
      <c r="D447" s="12"/>
    </row>
    <row r="448" spans="2:4" ht="12.5">
      <c r="B448" s="15"/>
      <c r="D448" s="12"/>
    </row>
    <row r="449" spans="2:4" ht="12.5">
      <c r="B449" s="15"/>
      <c r="D449" s="12"/>
    </row>
    <row r="450" spans="2:4" ht="12.5">
      <c r="B450" s="15"/>
      <c r="D450" s="12"/>
    </row>
    <row r="451" spans="2:4" ht="12.5">
      <c r="B451" s="15"/>
      <c r="D451" s="12"/>
    </row>
    <row r="452" spans="2:4" ht="12.5">
      <c r="B452" s="15"/>
      <c r="D452" s="12"/>
    </row>
    <row r="453" spans="2:4" ht="12.5">
      <c r="B453" s="15"/>
      <c r="D453" s="12"/>
    </row>
    <row r="454" spans="2:4" ht="12.5">
      <c r="B454" s="15"/>
      <c r="D454" s="12"/>
    </row>
    <row r="455" spans="2:4" ht="12.5">
      <c r="B455" s="15"/>
      <c r="D455" s="12"/>
    </row>
    <row r="456" spans="2:4" ht="12.5">
      <c r="B456" s="15"/>
      <c r="D456" s="12"/>
    </row>
    <row r="457" spans="2:4" ht="12.5">
      <c r="B457" s="15"/>
      <c r="D457" s="12"/>
    </row>
    <row r="458" spans="2:4" ht="12.5">
      <c r="B458" s="15"/>
      <c r="D458" s="12"/>
    </row>
    <row r="459" spans="2:4" ht="12.5">
      <c r="B459" s="15"/>
      <c r="D459" s="12"/>
    </row>
    <row r="460" spans="2:4" ht="12.5">
      <c r="B460" s="15"/>
      <c r="D460" s="12"/>
    </row>
    <row r="461" spans="2:4" ht="12.5">
      <c r="B461" s="15"/>
      <c r="D461" s="12"/>
    </row>
    <row r="462" spans="2:4" ht="12.5">
      <c r="B462" s="15"/>
      <c r="D462" s="12"/>
    </row>
    <row r="463" spans="2:4" ht="12.5">
      <c r="B463" s="15"/>
      <c r="D463" s="12"/>
    </row>
    <row r="464" spans="2:4" ht="12.5">
      <c r="B464" s="15"/>
      <c r="D464" s="12"/>
    </row>
    <row r="465" spans="2:4" ht="12.5">
      <c r="B465" s="15"/>
      <c r="D465" s="12"/>
    </row>
    <row r="466" spans="2:4" ht="12.5">
      <c r="B466" s="15"/>
      <c r="D466" s="12"/>
    </row>
    <row r="467" spans="2:4" ht="12.5">
      <c r="B467" s="15"/>
      <c r="D467" s="12"/>
    </row>
    <row r="468" spans="2:4" ht="12.5">
      <c r="B468" s="15"/>
      <c r="D468" s="12"/>
    </row>
    <row r="469" spans="2:4" ht="12.5">
      <c r="B469" s="15"/>
      <c r="D469" s="12"/>
    </row>
    <row r="470" spans="2:4" ht="12.5">
      <c r="B470" s="15"/>
      <c r="D470" s="12"/>
    </row>
    <row r="471" spans="2:4" ht="12.5">
      <c r="B471" s="15"/>
      <c r="D471" s="12"/>
    </row>
    <row r="472" spans="2:4" ht="12.5">
      <c r="B472" s="15"/>
      <c r="D472" s="12"/>
    </row>
    <row r="473" spans="2:4" ht="12.5">
      <c r="B473" s="15"/>
      <c r="D473" s="12"/>
    </row>
    <row r="474" spans="2:4" ht="12.5">
      <c r="B474" s="15"/>
      <c r="D474" s="12"/>
    </row>
    <row r="475" spans="2:4" ht="12.5">
      <c r="B475" s="15"/>
      <c r="D475" s="12"/>
    </row>
    <row r="476" spans="2:4" ht="12.5">
      <c r="B476" s="15"/>
      <c r="D476" s="12"/>
    </row>
    <row r="477" spans="2:4" ht="12.5">
      <c r="B477" s="15"/>
      <c r="D477" s="12"/>
    </row>
    <row r="478" spans="2:4" ht="12.5">
      <c r="B478" s="15"/>
      <c r="D478" s="12"/>
    </row>
    <row r="479" spans="2:4" ht="12.5">
      <c r="B479" s="15"/>
      <c r="D479" s="12"/>
    </row>
    <row r="480" spans="2:4" ht="12.5">
      <c r="B480" s="15"/>
      <c r="D480" s="12"/>
    </row>
    <row r="481" spans="2:4" ht="12.5">
      <c r="B481" s="15"/>
      <c r="D481" s="12"/>
    </row>
    <row r="482" spans="2:4" ht="12.5">
      <c r="B482" s="15"/>
      <c r="D482" s="12"/>
    </row>
    <row r="483" spans="2:4" ht="12.5">
      <c r="B483" s="15"/>
      <c r="D483" s="12"/>
    </row>
    <row r="484" spans="2:4" ht="12.5">
      <c r="B484" s="15"/>
      <c r="D484" s="12"/>
    </row>
    <row r="485" spans="2:4" ht="12.5">
      <c r="B485" s="15"/>
      <c r="D485" s="12"/>
    </row>
    <row r="486" spans="2:4" ht="12.5">
      <c r="B486" s="15"/>
      <c r="D486" s="12"/>
    </row>
    <row r="487" spans="2:4" ht="12.5">
      <c r="B487" s="15"/>
      <c r="D487" s="12"/>
    </row>
    <row r="488" spans="2:4" ht="12.5">
      <c r="B488" s="15"/>
      <c r="D488" s="12"/>
    </row>
    <row r="489" spans="2:4" ht="12.5">
      <c r="B489" s="15"/>
      <c r="D489" s="12"/>
    </row>
    <row r="490" spans="2:4" ht="12.5">
      <c r="B490" s="15"/>
      <c r="D490" s="12"/>
    </row>
    <row r="491" spans="2:4" ht="12.5">
      <c r="B491" s="15"/>
      <c r="D491" s="12"/>
    </row>
    <row r="492" spans="2:4" ht="12.5">
      <c r="B492" s="15"/>
      <c r="D492" s="12"/>
    </row>
    <row r="493" spans="2:4" ht="12.5">
      <c r="B493" s="15"/>
      <c r="D493" s="12"/>
    </row>
    <row r="494" spans="2:4" ht="12.5">
      <c r="B494" s="15"/>
      <c r="D494" s="12"/>
    </row>
    <row r="495" spans="2:4" ht="12.5">
      <c r="B495" s="15"/>
      <c r="D495" s="12"/>
    </row>
    <row r="496" spans="2:4" ht="12.5">
      <c r="B496" s="15"/>
      <c r="D496" s="12"/>
    </row>
    <row r="497" spans="2:4" ht="12.5">
      <c r="B497" s="15"/>
      <c r="D497" s="12"/>
    </row>
    <row r="498" spans="2:4" ht="12.5">
      <c r="B498" s="15"/>
      <c r="D498" s="12"/>
    </row>
    <row r="499" spans="2:4" ht="12.5">
      <c r="B499" s="15"/>
      <c r="D499" s="12"/>
    </row>
    <row r="500" spans="2:4" ht="12.5">
      <c r="B500" s="15"/>
      <c r="D500" s="12"/>
    </row>
    <row r="501" spans="2:4" ht="12.5">
      <c r="B501" s="15"/>
      <c r="D501" s="12"/>
    </row>
    <row r="502" spans="2:4" ht="12.5">
      <c r="B502" s="15"/>
      <c r="D502" s="12"/>
    </row>
    <row r="503" spans="2:4" ht="12.5">
      <c r="B503" s="15"/>
      <c r="D503" s="12"/>
    </row>
    <row r="504" spans="2:4" ht="12.5">
      <c r="B504" s="15"/>
      <c r="D504" s="12"/>
    </row>
    <row r="505" spans="2:4" ht="12.5">
      <c r="B505" s="15"/>
      <c r="D505" s="12"/>
    </row>
    <row r="506" spans="2:4" ht="12.5">
      <c r="B506" s="15"/>
      <c r="D506" s="12"/>
    </row>
    <row r="507" spans="2:4" ht="12.5">
      <c r="B507" s="15"/>
      <c r="D507" s="12"/>
    </row>
    <row r="508" spans="2:4" ht="12.5">
      <c r="B508" s="15"/>
      <c r="D508" s="12"/>
    </row>
    <row r="509" spans="2:4" ht="12.5">
      <c r="B509" s="15"/>
      <c r="D509" s="12"/>
    </row>
    <row r="510" spans="2:4" ht="12.5">
      <c r="B510" s="15"/>
      <c r="D510" s="12"/>
    </row>
    <row r="511" spans="2:4" ht="12.5">
      <c r="B511" s="15"/>
      <c r="D511" s="12"/>
    </row>
    <row r="512" spans="2:4" ht="12.5">
      <c r="B512" s="15"/>
      <c r="D512" s="12"/>
    </row>
    <row r="513" spans="2:4" ht="12.5">
      <c r="B513" s="15"/>
      <c r="D513" s="12"/>
    </row>
    <row r="514" spans="2:4" ht="12.5">
      <c r="B514" s="15"/>
      <c r="D514" s="12"/>
    </row>
    <row r="515" spans="2:4" ht="12.5">
      <c r="B515" s="15"/>
      <c r="D515" s="12"/>
    </row>
    <row r="516" spans="2:4" ht="12.5">
      <c r="B516" s="15"/>
      <c r="D516" s="12"/>
    </row>
    <row r="517" spans="2:4" ht="12.5">
      <c r="B517" s="15"/>
      <c r="D517" s="12"/>
    </row>
    <row r="518" spans="2:4" ht="12.5">
      <c r="B518" s="15"/>
      <c r="D518" s="12"/>
    </row>
    <row r="519" spans="2:4" ht="12.5">
      <c r="B519" s="15"/>
      <c r="D519" s="12"/>
    </row>
    <row r="520" spans="2:4" ht="12.5">
      <c r="B520" s="15"/>
      <c r="D520" s="12"/>
    </row>
    <row r="521" spans="2:4" ht="12.5">
      <c r="B521" s="15"/>
      <c r="D521" s="12"/>
    </row>
    <row r="522" spans="2:4" ht="12.5">
      <c r="B522" s="15"/>
      <c r="D522" s="12"/>
    </row>
    <row r="523" spans="2:4" ht="12.5">
      <c r="B523" s="15"/>
      <c r="D523" s="12"/>
    </row>
    <row r="524" spans="2:4" ht="12.5">
      <c r="B524" s="15"/>
      <c r="D524" s="12"/>
    </row>
    <row r="525" spans="2:4" ht="12.5">
      <c r="B525" s="15"/>
      <c r="D525" s="12"/>
    </row>
    <row r="526" spans="2:4" ht="12.5">
      <c r="B526" s="15"/>
      <c r="D526" s="12"/>
    </row>
    <row r="527" spans="2:4" ht="12.5">
      <c r="B527" s="15"/>
      <c r="D527" s="12"/>
    </row>
    <row r="528" spans="2:4" ht="12.5">
      <c r="B528" s="15"/>
      <c r="D528" s="12"/>
    </row>
    <row r="529" spans="2:4" ht="12.5">
      <c r="B529" s="15"/>
      <c r="D529" s="12"/>
    </row>
    <row r="530" spans="2:4" ht="12.5">
      <c r="B530" s="15"/>
      <c r="D530" s="12"/>
    </row>
    <row r="531" spans="2:4" ht="12.5">
      <c r="B531" s="15"/>
      <c r="D531" s="12"/>
    </row>
    <row r="532" spans="2:4" ht="12.5">
      <c r="B532" s="15"/>
      <c r="D532" s="12"/>
    </row>
    <row r="533" spans="2:4" ht="12.5">
      <c r="B533" s="15"/>
      <c r="D533" s="12"/>
    </row>
    <row r="534" spans="2:4" ht="12.5">
      <c r="B534" s="15"/>
      <c r="D534" s="12"/>
    </row>
    <row r="535" spans="2:4" ht="12.5">
      <c r="B535" s="15"/>
      <c r="D535" s="12"/>
    </row>
    <row r="536" spans="2:4" ht="12.5">
      <c r="B536" s="15"/>
      <c r="D536" s="12"/>
    </row>
    <row r="537" spans="2:4" ht="12.5">
      <c r="B537" s="15"/>
      <c r="D537" s="12"/>
    </row>
    <row r="538" spans="2:4" ht="12.5">
      <c r="B538" s="15"/>
      <c r="D538" s="12"/>
    </row>
    <row r="539" spans="2:4" ht="12.5">
      <c r="B539" s="15"/>
      <c r="D539" s="12"/>
    </row>
    <row r="540" spans="2:4" ht="12.5">
      <c r="B540" s="15"/>
      <c r="D540" s="12"/>
    </row>
    <row r="541" spans="2:4" ht="12.5">
      <c r="B541" s="15"/>
      <c r="D541" s="12"/>
    </row>
    <row r="542" spans="2:4" ht="12.5">
      <c r="B542" s="15"/>
      <c r="D542" s="12"/>
    </row>
    <row r="543" spans="2:4" ht="12.5">
      <c r="B543" s="15"/>
      <c r="D543" s="12"/>
    </row>
    <row r="544" spans="2:4" ht="12.5">
      <c r="B544" s="15"/>
      <c r="D544" s="12"/>
    </row>
    <row r="545" spans="2:4" ht="12.5">
      <c r="B545" s="15"/>
      <c r="D545" s="12"/>
    </row>
    <row r="546" spans="2:4" ht="12.5">
      <c r="B546" s="15"/>
      <c r="D546" s="12"/>
    </row>
    <row r="547" spans="2:4" ht="12.5">
      <c r="B547" s="15"/>
      <c r="D547" s="12"/>
    </row>
    <row r="548" spans="2:4" ht="12.5">
      <c r="B548" s="15"/>
      <c r="D548" s="12"/>
    </row>
    <row r="549" spans="2:4" ht="12.5">
      <c r="B549" s="15"/>
      <c r="D549" s="12"/>
    </row>
    <row r="550" spans="2:4" ht="12.5">
      <c r="B550" s="15"/>
      <c r="D550" s="12"/>
    </row>
    <row r="551" spans="2:4" ht="12.5">
      <c r="B551" s="15"/>
      <c r="D551" s="12"/>
    </row>
    <row r="552" spans="2:4" ht="12.5">
      <c r="B552" s="15"/>
      <c r="D552" s="12"/>
    </row>
    <row r="553" spans="2:4" ht="12.5">
      <c r="B553" s="15"/>
      <c r="D553" s="12"/>
    </row>
    <row r="554" spans="2:4" ht="12.5">
      <c r="B554" s="15"/>
      <c r="D554" s="12"/>
    </row>
    <row r="555" spans="2:4" ht="12.5">
      <c r="B555" s="15"/>
      <c r="D555" s="12"/>
    </row>
    <row r="556" spans="2:4" ht="12.5">
      <c r="B556" s="15"/>
      <c r="D556" s="12"/>
    </row>
    <row r="557" spans="2:4" ht="12.5">
      <c r="B557" s="15"/>
      <c r="D557" s="12"/>
    </row>
    <row r="558" spans="2:4" ht="12.5">
      <c r="B558" s="15"/>
      <c r="D558" s="12"/>
    </row>
    <row r="559" spans="2:4" ht="12.5">
      <c r="B559" s="15"/>
      <c r="D559" s="12"/>
    </row>
    <row r="560" spans="2:4" ht="12.5">
      <c r="B560" s="15"/>
      <c r="D560" s="12"/>
    </row>
    <row r="561" spans="2:4" ht="12.5">
      <c r="B561" s="15"/>
      <c r="D561" s="12"/>
    </row>
    <row r="562" spans="2:4" ht="12.5">
      <c r="B562" s="15"/>
      <c r="D562" s="12"/>
    </row>
    <row r="563" spans="2:4" ht="12.5">
      <c r="B563" s="15"/>
      <c r="D563" s="12"/>
    </row>
    <row r="564" spans="2:4" ht="12.5">
      <c r="B564" s="15"/>
      <c r="D564" s="12"/>
    </row>
    <row r="565" spans="2:4" ht="12.5">
      <c r="B565" s="15"/>
      <c r="D565" s="12"/>
    </row>
    <row r="566" spans="2:4" ht="12.5">
      <c r="B566" s="15"/>
      <c r="D566" s="12"/>
    </row>
    <row r="567" spans="2:4" ht="12.5">
      <c r="B567" s="15"/>
      <c r="D567" s="12"/>
    </row>
    <row r="568" spans="2:4" ht="12.5">
      <c r="B568" s="15"/>
      <c r="D568" s="12"/>
    </row>
    <row r="569" spans="2:4" ht="12.5">
      <c r="B569" s="15"/>
      <c r="D569" s="12"/>
    </row>
    <row r="570" spans="2:4" ht="12.5">
      <c r="B570" s="15"/>
      <c r="D570" s="12"/>
    </row>
    <row r="571" spans="2:4" ht="12.5">
      <c r="B571" s="15"/>
      <c r="D571" s="12"/>
    </row>
    <row r="572" spans="2:4" ht="12.5">
      <c r="B572" s="15"/>
      <c r="D572" s="12"/>
    </row>
    <row r="573" spans="2:4" ht="12.5">
      <c r="B573" s="15"/>
      <c r="D573" s="12"/>
    </row>
    <row r="574" spans="2:4" ht="12.5">
      <c r="B574" s="15"/>
      <c r="D574" s="12"/>
    </row>
    <row r="575" spans="2:4" ht="12.5">
      <c r="B575" s="15"/>
      <c r="D575" s="12"/>
    </row>
    <row r="576" spans="2:4" ht="12.5">
      <c r="B576" s="15"/>
      <c r="D576" s="12"/>
    </row>
    <row r="577" spans="2:4" ht="12.5">
      <c r="B577" s="15"/>
      <c r="D577" s="12"/>
    </row>
    <row r="578" spans="2:4" ht="12.5">
      <c r="B578" s="15"/>
      <c r="D578" s="12"/>
    </row>
    <row r="579" spans="2:4" ht="12.5">
      <c r="B579" s="15"/>
      <c r="D579" s="12"/>
    </row>
    <row r="580" spans="2:4" ht="12.5">
      <c r="B580" s="15"/>
      <c r="D580" s="12"/>
    </row>
    <row r="581" spans="2:4" ht="12.5">
      <c r="B581" s="15"/>
      <c r="D581" s="12"/>
    </row>
    <row r="582" spans="2:4" ht="12.5">
      <c r="B582" s="15"/>
      <c r="D582" s="12"/>
    </row>
    <row r="583" spans="2:4" ht="12.5">
      <c r="B583" s="15"/>
      <c r="D583" s="12"/>
    </row>
    <row r="584" spans="2:4" ht="12.5">
      <c r="B584" s="15"/>
      <c r="D584" s="12"/>
    </row>
    <row r="585" spans="2:4" ht="12.5">
      <c r="B585" s="15"/>
      <c r="D585" s="12"/>
    </row>
    <row r="586" spans="2:4" ht="12.5">
      <c r="B586" s="15"/>
      <c r="D586" s="12"/>
    </row>
    <row r="587" spans="2:4" ht="12.5">
      <c r="B587" s="15"/>
      <c r="D587" s="12"/>
    </row>
    <row r="588" spans="2:4" ht="12.5">
      <c r="B588" s="15"/>
      <c r="D588" s="12"/>
    </row>
    <row r="589" spans="2:4" ht="12.5">
      <c r="B589" s="15"/>
      <c r="D589" s="12"/>
    </row>
    <row r="590" spans="2:4" ht="12.5">
      <c r="B590" s="15"/>
      <c r="D590" s="12"/>
    </row>
    <row r="591" spans="2:4" ht="12.5">
      <c r="B591" s="15"/>
      <c r="D591" s="12"/>
    </row>
    <row r="592" spans="2:4" ht="12.5">
      <c r="B592" s="15"/>
      <c r="D592" s="12"/>
    </row>
    <row r="593" spans="2:4" ht="12.5">
      <c r="B593" s="15"/>
      <c r="D593" s="12"/>
    </row>
    <row r="594" spans="2:4" ht="12.5">
      <c r="B594" s="15"/>
      <c r="D594" s="12"/>
    </row>
    <row r="595" spans="2:4" ht="12.5">
      <c r="B595" s="15"/>
      <c r="D595" s="12"/>
    </row>
    <row r="596" spans="2:4" ht="12.5">
      <c r="B596" s="15"/>
      <c r="D596" s="12"/>
    </row>
    <row r="597" spans="2:4" ht="12.5">
      <c r="B597" s="15"/>
      <c r="D597" s="12"/>
    </row>
    <row r="598" spans="2:4" ht="12.5">
      <c r="B598" s="15"/>
      <c r="D598" s="12"/>
    </row>
    <row r="599" spans="2:4" ht="12.5">
      <c r="B599" s="15"/>
      <c r="D599" s="12"/>
    </row>
    <row r="600" spans="2:4" ht="12.5">
      <c r="B600" s="15"/>
      <c r="D600" s="12"/>
    </row>
    <row r="601" spans="2:4" ht="12.5">
      <c r="B601" s="15"/>
      <c r="D601" s="12"/>
    </row>
    <row r="602" spans="2:4" ht="12.5">
      <c r="B602" s="15"/>
      <c r="D602" s="12"/>
    </row>
    <row r="603" spans="2:4" ht="12.5">
      <c r="B603" s="15"/>
      <c r="D603" s="12"/>
    </row>
    <row r="604" spans="2:4" ht="12.5">
      <c r="B604" s="15"/>
      <c r="D604" s="12"/>
    </row>
    <row r="605" spans="2:4" ht="12.5">
      <c r="B605" s="15"/>
      <c r="D605" s="12"/>
    </row>
    <row r="606" spans="2:4" ht="12.5">
      <c r="B606" s="15"/>
      <c r="D606" s="12"/>
    </row>
    <row r="607" spans="2:4" ht="12.5">
      <c r="B607" s="15"/>
      <c r="D607" s="12"/>
    </row>
    <row r="608" spans="2:4" ht="12.5">
      <c r="B608" s="15"/>
      <c r="D608" s="12"/>
    </row>
    <row r="609" spans="2:4" ht="12.5">
      <c r="B609" s="15"/>
      <c r="D609" s="12"/>
    </row>
    <row r="610" spans="2:4" ht="12.5">
      <c r="B610" s="15"/>
      <c r="D610" s="12"/>
    </row>
    <row r="611" spans="2:4" ht="12.5">
      <c r="B611" s="15"/>
      <c r="D611" s="12"/>
    </row>
    <row r="612" spans="2:4" ht="12.5">
      <c r="B612" s="15"/>
      <c r="D612" s="12"/>
    </row>
    <row r="613" spans="2:4" ht="12.5">
      <c r="B613" s="15"/>
      <c r="D613" s="12"/>
    </row>
    <row r="614" spans="2:4" ht="12.5">
      <c r="B614" s="15"/>
      <c r="D614" s="12"/>
    </row>
    <row r="615" spans="2:4" ht="12.5">
      <c r="B615" s="15"/>
      <c r="D615" s="12"/>
    </row>
    <row r="616" spans="2:4" ht="12.5">
      <c r="B616" s="15"/>
      <c r="D616" s="12"/>
    </row>
    <row r="617" spans="2:4" ht="12.5">
      <c r="B617" s="15"/>
      <c r="D617" s="12"/>
    </row>
    <row r="618" spans="2:4" ht="12.5">
      <c r="B618" s="15"/>
      <c r="D618" s="12"/>
    </row>
    <row r="619" spans="2:4" ht="12.5">
      <c r="B619" s="15"/>
      <c r="D619" s="12"/>
    </row>
    <row r="620" spans="2:4" ht="12.5">
      <c r="B620" s="15"/>
      <c r="D620" s="12"/>
    </row>
    <row r="621" spans="2:4" ht="12.5">
      <c r="B621" s="15"/>
      <c r="D621" s="12"/>
    </row>
    <row r="622" spans="2:4" ht="12.5">
      <c r="B622" s="15"/>
      <c r="D622" s="12"/>
    </row>
    <row r="623" spans="2:4" ht="12.5">
      <c r="B623" s="15"/>
      <c r="D623" s="12"/>
    </row>
    <row r="624" spans="2:4" ht="12.5">
      <c r="B624" s="15"/>
      <c r="D624" s="12"/>
    </row>
    <row r="625" spans="2:4" ht="12.5">
      <c r="B625" s="15"/>
      <c r="D625" s="12"/>
    </row>
    <row r="626" spans="2:4" ht="12.5">
      <c r="B626" s="15"/>
      <c r="D626" s="12"/>
    </row>
    <row r="627" spans="2:4" ht="12.5">
      <c r="B627" s="15"/>
      <c r="D627" s="12"/>
    </row>
    <row r="628" spans="2:4" ht="12.5">
      <c r="B628" s="15"/>
      <c r="D628" s="12"/>
    </row>
    <row r="629" spans="2:4" ht="12.5">
      <c r="B629" s="15"/>
      <c r="D629" s="12"/>
    </row>
    <row r="630" spans="2:4" ht="12.5">
      <c r="B630" s="15"/>
      <c r="D630" s="12"/>
    </row>
    <row r="631" spans="2:4" ht="12.5">
      <c r="B631" s="15"/>
      <c r="D631" s="12"/>
    </row>
    <row r="632" spans="2:4" ht="12.5">
      <c r="B632" s="15"/>
      <c r="D632" s="12"/>
    </row>
    <row r="633" spans="2:4" ht="12.5">
      <c r="B633" s="15"/>
      <c r="D633" s="12"/>
    </row>
    <row r="634" spans="2:4" ht="12.5">
      <c r="B634" s="15"/>
      <c r="D634" s="12"/>
    </row>
    <row r="635" spans="2:4" ht="12.5">
      <c r="B635" s="15"/>
      <c r="D635" s="12"/>
    </row>
    <row r="636" spans="2:4" ht="12.5">
      <c r="B636" s="15"/>
      <c r="D636" s="12"/>
    </row>
    <row r="637" spans="2:4" ht="12.5">
      <c r="B637" s="15"/>
      <c r="D637" s="12"/>
    </row>
    <row r="638" spans="2:4" ht="12.5">
      <c r="B638" s="15"/>
      <c r="D638" s="12"/>
    </row>
    <row r="639" spans="2:4" ht="12.5">
      <c r="B639" s="15"/>
      <c r="D639" s="12"/>
    </row>
    <row r="640" spans="2:4" ht="12.5">
      <c r="B640" s="15"/>
      <c r="D640" s="12"/>
    </row>
    <row r="641" spans="2:4" ht="12.5">
      <c r="B641" s="15"/>
      <c r="D641" s="12"/>
    </row>
    <row r="642" spans="2:4" ht="12.5">
      <c r="B642" s="15"/>
      <c r="D642" s="12"/>
    </row>
    <row r="643" spans="2:4" ht="12.5">
      <c r="B643" s="15"/>
      <c r="D643" s="12"/>
    </row>
    <row r="644" spans="2:4" ht="12.5">
      <c r="B644" s="15"/>
      <c r="D644" s="12"/>
    </row>
    <row r="645" spans="2:4" ht="12.5">
      <c r="B645" s="15"/>
      <c r="D645" s="12"/>
    </row>
    <row r="646" spans="2:4" ht="12.5">
      <c r="B646" s="15"/>
      <c r="D646" s="12"/>
    </row>
    <row r="647" spans="2:4" ht="12.5">
      <c r="B647" s="15"/>
      <c r="D647" s="12"/>
    </row>
    <row r="648" spans="2:4" ht="12.5">
      <c r="B648" s="15"/>
      <c r="D648" s="12"/>
    </row>
    <row r="649" spans="2:4" ht="12.5">
      <c r="B649" s="15"/>
      <c r="D649" s="12"/>
    </row>
    <row r="650" spans="2:4" ht="12.5">
      <c r="B650" s="15"/>
      <c r="D650" s="12"/>
    </row>
    <row r="651" spans="2:4" ht="12.5">
      <c r="B651" s="15"/>
      <c r="D651" s="12"/>
    </row>
    <row r="652" spans="2:4" ht="12.5">
      <c r="B652" s="15"/>
      <c r="D652" s="12"/>
    </row>
    <row r="653" spans="2:4" ht="12.5">
      <c r="B653" s="15"/>
      <c r="D653" s="12"/>
    </row>
    <row r="654" spans="2:4" ht="12.5">
      <c r="B654" s="15"/>
      <c r="D654" s="12"/>
    </row>
    <row r="655" spans="2:4" ht="12.5">
      <c r="B655" s="15"/>
      <c r="D655" s="12"/>
    </row>
    <row r="656" spans="2:4" ht="12.5">
      <c r="B656" s="15"/>
      <c r="D656" s="12"/>
    </row>
    <row r="657" spans="2:4" ht="12.5">
      <c r="B657" s="15"/>
      <c r="D657" s="12"/>
    </row>
    <row r="658" spans="2:4" ht="12.5">
      <c r="B658" s="15"/>
      <c r="D658" s="12"/>
    </row>
    <row r="659" spans="2:4" ht="12.5">
      <c r="B659" s="15"/>
      <c r="D659" s="12"/>
    </row>
    <row r="660" spans="2:4" ht="12.5">
      <c r="B660" s="15"/>
      <c r="D660" s="12"/>
    </row>
    <row r="661" spans="2:4" ht="12.5">
      <c r="B661" s="15"/>
      <c r="D661" s="12"/>
    </row>
    <row r="662" spans="2:4" ht="12.5">
      <c r="B662" s="15"/>
      <c r="D662" s="12"/>
    </row>
    <row r="663" spans="2:4" ht="12.5">
      <c r="B663" s="15"/>
      <c r="D663" s="12"/>
    </row>
    <row r="664" spans="2:4" ht="12.5">
      <c r="B664" s="15"/>
      <c r="D664" s="12"/>
    </row>
    <row r="665" spans="2:4" ht="12.5">
      <c r="B665" s="15"/>
      <c r="D665" s="12"/>
    </row>
    <row r="666" spans="2:4" ht="12.5">
      <c r="B666" s="15"/>
      <c r="D666" s="12"/>
    </row>
    <row r="667" spans="2:4" ht="12.5">
      <c r="B667" s="15"/>
      <c r="D667" s="12"/>
    </row>
    <row r="668" spans="2:4" ht="12.5">
      <c r="B668" s="15"/>
      <c r="D668" s="12"/>
    </row>
    <row r="669" spans="2:4" ht="12.5">
      <c r="B669" s="15"/>
      <c r="D669" s="12"/>
    </row>
    <row r="670" spans="2:4" ht="12.5">
      <c r="B670" s="15"/>
      <c r="D670" s="12"/>
    </row>
    <row r="671" spans="2:4" ht="12.5">
      <c r="B671" s="15"/>
      <c r="D671" s="12"/>
    </row>
    <row r="672" spans="2:4" ht="12.5">
      <c r="B672" s="15"/>
      <c r="D672" s="12"/>
    </row>
    <row r="673" spans="2:4" ht="12.5">
      <c r="B673" s="15"/>
      <c r="D673" s="12"/>
    </row>
    <row r="674" spans="2:4" ht="12.5">
      <c r="B674" s="15"/>
      <c r="D674" s="12"/>
    </row>
    <row r="675" spans="2:4" ht="12.5">
      <c r="B675" s="15"/>
      <c r="D675" s="12"/>
    </row>
    <row r="676" spans="2:4" ht="12.5">
      <c r="B676" s="15"/>
      <c r="D676" s="12"/>
    </row>
    <row r="677" spans="2:4" ht="12.5">
      <c r="B677" s="15"/>
      <c r="D677" s="12"/>
    </row>
    <row r="678" spans="2:4" ht="12.5">
      <c r="B678" s="15"/>
      <c r="D678" s="12"/>
    </row>
    <row r="679" spans="2:4" ht="12.5">
      <c r="B679" s="15"/>
      <c r="D679" s="12"/>
    </row>
    <row r="680" spans="2:4" ht="12.5">
      <c r="B680" s="15"/>
      <c r="D680" s="12"/>
    </row>
    <row r="681" spans="2:4" ht="12.5">
      <c r="B681" s="15"/>
      <c r="D681" s="12"/>
    </row>
    <row r="682" spans="2:4" ht="12.5">
      <c r="B682" s="15"/>
      <c r="D682" s="12"/>
    </row>
    <row r="683" spans="2:4" ht="12.5">
      <c r="B683" s="15"/>
      <c r="D683" s="12"/>
    </row>
    <row r="684" spans="2:4" ht="12.5">
      <c r="B684" s="15"/>
      <c r="D684" s="12"/>
    </row>
    <row r="685" spans="2:4" ht="12.5">
      <c r="B685" s="15"/>
      <c r="D685" s="12"/>
    </row>
    <row r="686" spans="2:4" ht="12.5">
      <c r="B686" s="15"/>
      <c r="D686" s="12"/>
    </row>
    <row r="687" spans="2:4" ht="12.5">
      <c r="B687" s="15"/>
      <c r="D687" s="12"/>
    </row>
    <row r="688" spans="2:4" ht="12.5">
      <c r="B688" s="15"/>
      <c r="D688" s="12"/>
    </row>
    <row r="689" spans="2:4" ht="12.5">
      <c r="B689" s="15"/>
      <c r="D689" s="12"/>
    </row>
    <row r="690" spans="2:4" ht="12.5">
      <c r="B690" s="15"/>
      <c r="D690" s="12"/>
    </row>
    <row r="691" spans="2:4" ht="12.5">
      <c r="B691" s="15"/>
      <c r="D691" s="12"/>
    </row>
    <row r="692" spans="2:4" ht="12.5">
      <c r="B692" s="15"/>
      <c r="D692" s="12"/>
    </row>
    <row r="693" spans="2:4" ht="12.5">
      <c r="B693" s="15"/>
      <c r="D693" s="12"/>
    </row>
    <row r="694" spans="2:4" ht="12.5">
      <c r="B694" s="15"/>
      <c r="D694" s="12"/>
    </row>
    <row r="695" spans="2:4" ht="12.5">
      <c r="B695" s="15"/>
      <c r="D695" s="12"/>
    </row>
    <row r="696" spans="2:4" ht="12.5">
      <c r="B696" s="15"/>
      <c r="D696" s="12"/>
    </row>
    <row r="697" spans="2:4" ht="12.5">
      <c r="B697" s="15"/>
      <c r="D697" s="12"/>
    </row>
    <row r="698" spans="2:4" ht="12.5">
      <c r="B698" s="15"/>
      <c r="D698" s="12"/>
    </row>
    <row r="699" spans="2:4" ht="12.5">
      <c r="B699" s="15"/>
      <c r="D699" s="12"/>
    </row>
    <row r="700" spans="2:4" ht="12.5">
      <c r="B700" s="15"/>
      <c r="D700" s="12"/>
    </row>
    <row r="701" spans="2:4" ht="12.5">
      <c r="B701" s="15"/>
      <c r="D701" s="12"/>
    </row>
    <row r="702" spans="2:4" ht="12.5">
      <c r="B702" s="15"/>
      <c r="D702" s="12"/>
    </row>
    <row r="703" spans="2:4" ht="12.5">
      <c r="B703" s="15"/>
      <c r="D703" s="12"/>
    </row>
    <row r="704" spans="2:4" ht="12.5">
      <c r="B704" s="15"/>
      <c r="D704" s="12"/>
    </row>
    <row r="705" spans="2:4" ht="12.5">
      <c r="B705" s="15"/>
      <c r="D705" s="12"/>
    </row>
    <row r="706" spans="2:4" ht="12.5">
      <c r="B706" s="15"/>
      <c r="D706" s="12"/>
    </row>
    <row r="707" spans="2:4" ht="12.5">
      <c r="B707" s="15"/>
      <c r="D707" s="12"/>
    </row>
    <row r="708" spans="2:4" ht="12.5">
      <c r="B708" s="15"/>
      <c r="D708" s="12"/>
    </row>
    <row r="709" spans="2:4" ht="12.5">
      <c r="B709" s="15"/>
      <c r="D709" s="12"/>
    </row>
    <row r="710" spans="2:4" ht="12.5">
      <c r="B710" s="15"/>
      <c r="D710" s="12"/>
    </row>
    <row r="711" spans="2:4" ht="12.5">
      <c r="B711" s="15"/>
      <c r="D711" s="12"/>
    </row>
    <row r="712" spans="2:4" ht="12.5">
      <c r="B712" s="15"/>
      <c r="D712" s="12"/>
    </row>
    <row r="713" spans="2:4" ht="12.5">
      <c r="B713" s="15"/>
      <c r="D713" s="12"/>
    </row>
    <row r="714" spans="2:4" ht="12.5">
      <c r="B714" s="15"/>
      <c r="D714" s="12"/>
    </row>
    <row r="715" spans="2:4" ht="12.5">
      <c r="B715" s="15"/>
      <c r="D715" s="12"/>
    </row>
    <row r="716" spans="2:4" ht="12.5">
      <c r="B716" s="15"/>
      <c r="D716" s="12"/>
    </row>
    <row r="717" spans="2:4" ht="12.5">
      <c r="B717" s="15"/>
      <c r="D717" s="12"/>
    </row>
    <row r="718" spans="2:4" ht="12.5">
      <c r="B718" s="15"/>
      <c r="D718" s="12"/>
    </row>
    <row r="719" spans="2:4" ht="12.5">
      <c r="B719" s="15"/>
      <c r="D719" s="12"/>
    </row>
    <row r="720" spans="2:4" ht="12.5">
      <c r="B720" s="15"/>
      <c r="D720" s="12"/>
    </row>
    <row r="721" spans="2:4" ht="12.5">
      <c r="B721" s="15"/>
      <c r="D721" s="12"/>
    </row>
    <row r="722" spans="2:4" ht="12.5">
      <c r="B722" s="15"/>
      <c r="D722" s="12"/>
    </row>
    <row r="723" spans="2:4" ht="12.5">
      <c r="B723" s="15"/>
      <c r="D723" s="12"/>
    </row>
    <row r="724" spans="2:4" ht="12.5">
      <c r="B724" s="15"/>
      <c r="D724" s="12"/>
    </row>
    <row r="725" spans="2:4" ht="12.5">
      <c r="B725" s="15"/>
      <c r="D725" s="12"/>
    </row>
    <row r="726" spans="2:4" ht="12.5">
      <c r="B726" s="15"/>
      <c r="D726" s="12"/>
    </row>
    <row r="727" spans="2:4" ht="12.5">
      <c r="B727" s="15"/>
      <c r="D727" s="12"/>
    </row>
    <row r="728" spans="2:4" ht="12.5">
      <c r="B728" s="15"/>
      <c r="D728" s="12"/>
    </row>
    <row r="729" spans="2:4" ht="12.5">
      <c r="B729" s="15"/>
      <c r="D729" s="12"/>
    </row>
    <row r="730" spans="2:4" ht="12.5">
      <c r="B730" s="15"/>
      <c r="D730" s="12"/>
    </row>
    <row r="731" spans="2:4" ht="12.5">
      <c r="B731" s="15"/>
      <c r="D731" s="12"/>
    </row>
    <row r="732" spans="2:4" ht="12.5">
      <c r="B732" s="15"/>
      <c r="D732" s="12"/>
    </row>
    <row r="733" spans="2:4" ht="12.5">
      <c r="B733" s="15"/>
      <c r="D733" s="12"/>
    </row>
    <row r="734" spans="2:4" ht="12.5">
      <c r="B734" s="15"/>
      <c r="D734" s="12"/>
    </row>
    <row r="735" spans="2:4" ht="12.5">
      <c r="B735" s="15"/>
      <c r="D735" s="12"/>
    </row>
    <row r="736" spans="2:4" ht="12.5">
      <c r="B736" s="15"/>
      <c r="D736" s="12"/>
    </row>
    <row r="737" spans="2:4" ht="12.5">
      <c r="B737" s="15"/>
      <c r="D737" s="12"/>
    </row>
    <row r="738" spans="2:4" ht="12.5">
      <c r="B738" s="15"/>
      <c r="D738" s="12"/>
    </row>
    <row r="739" spans="2:4" ht="12.5">
      <c r="B739" s="15"/>
      <c r="D739" s="12"/>
    </row>
    <row r="740" spans="2:4" ht="12.5">
      <c r="B740" s="15"/>
      <c r="D740" s="12"/>
    </row>
    <row r="741" spans="2:4" ht="12.5">
      <c r="B741" s="15"/>
      <c r="D741" s="12"/>
    </row>
    <row r="742" spans="2:4" ht="12.5">
      <c r="B742" s="15"/>
      <c r="D742" s="12"/>
    </row>
    <row r="743" spans="2:4" ht="12.5">
      <c r="B743" s="15"/>
      <c r="D743" s="12"/>
    </row>
    <row r="744" spans="2:4" ht="12.5">
      <c r="B744" s="15"/>
      <c r="D744" s="12"/>
    </row>
    <row r="745" spans="2:4" ht="12.5">
      <c r="B745" s="15"/>
      <c r="D745" s="12"/>
    </row>
    <row r="746" spans="2:4" ht="12.5">
      <c r="B746" s="15"/>
      <c r="D746" s="12"/>
    </row>
    <row r="747" spans="2:4" ht="12.5">
      <c r="B747" s="15"/>
      <c r="D747" s="12"/>
    </row>
    <row r="748" spans="2:4" ht="12.5">
      <c r="B748" s="15"/>
      <c r="D748" s="12"/>
    </row>
    <row r="749" spans="2:4" ht="12.5">
      <c r="B749" s="15"/>
      <c r="D749" s="12"/>
    </row>
    <row r="750" spans="2:4" ht="12.5">
      <c r="B750" s="15"/>
      <c r="D750" s="12"/>
    </row>
    <row r="751" spans="2:4" ht="12.5">
      <c r="B751" s="15"/>
      <c r="D751" s="12"/>
    </row>
    <row r="752" spans="2:4" ht="12.5">
      <c r="B752" s="15"/>
      <c r="D752" s="12"/>
    </row>
    <row r="753" spans="2:4" ht="12.5">
      <c r="B753" s="15"/>
      <c r="D753" s="12"/>
    </row>
    <row r="754" spans="2:4" ht="12.5">
      <c r="B754" s="15"/>
      <c r="D754" s="12"/>
    </row>
    <row r="755" spans="2:4" ht="12.5">
      <c r="B755" s="15"/>
      <c r="D755" s="12"/>
    </row>
    <row r="756" spans="2:4" ht="12.5">
      <c r="B756" s="15"/>
      <c r="D756" s="12"/>
    </row>
    <row r="757" spans="2:4" ht="12.5">
      <c r="B757" s="15"/>
      <c r="D757" s="12"/>
    </row>
    <row r="758" spans="2:4" ht="12.5">
      <c r="B758" s="15"/>
      <c r="D758" s="12"/>
    </row>
    <row r="759" spans="2:4" ht="12.5">
      <c r="B759" s="15"/>
      <c r="D759" s="12"/>
    </row>
    <row r="760" spans="2:4" ht="12.5">
      <c r="B760" s="15"/>
      <c r="D760" s="12"/>
    </row>
    <row r="761" spans="2:4" ht="12.5">
      <c r="B761" s="15"/>
      <c r="D761" s="12"/>
    </row>
    <row r="762" spans="2:4" ht="12.5">
      <c r="B762" s="15"/>
      <c r="D762" s="12"/>
    </row>
    <row r="763" spans="2:4" ht="12.5">
      <c r="B763" s="15"/>
      <c r="D763" s="12"/>
    </row>
    <row r="764" spans="2:4" ht="12.5">
      <c r="B764" s="15"/>
      <c r="D764" s="12"/>
    </row>
    <row r="765" spans="2:4" ht="12.5">
      <c r="B765" s="15"/>
      <c r="D765" s="12"/>
    </row>
    <row r="766" spans="2:4" ht="12.5">
      <c r="B766" s="15"/>
      <c r="D766" s="12"/>
    </row>
    <row r="767" spans="2:4" ht="12.5">
      <c r="B767" s="15"/>
      <c r="D767" s="12"/>
    </row>
    <row r="768" spans="2:4" ht="12.5">
      <c r="B768" s="15"/>
      <c r="D768" s="12"/>
    </row>
    <row r="769" spans="2:4" ht="12.5">
      <c r="B769" s="15"/>
      <c r="D769" s="12"/>
    </row>
    <row r="770" spans="2:4" ht="12.5">
      <c r="B770" s="15"/>
      <c r="D770" s="12"/>
    </row>
    <row r="771" spans="2:4" ht="12.5">
      <c r="B771" s="15"/>
      <c r="D771" s="12"/>
    </row>
    <row r="772" spans="2:4" ht="12.5">
      <c r="B772" s="15"/>
      <c r="D772" s="12"/>
    </row>
    <row r="773" spans="2:4" ht="12.5">
      <c r="B773" s="15"/>
      <c r="D773" s="12"/>
    </row>
    <row r="774" spans="2:4" ht="12.5">
      <c r="B774" s="15"/>
      <c r="D774" s="12"/>
    </row>
    <row r="775" spans="2:4" ht="12.5">
      <c r="B775" s="15"/>
      <c r="D775" s="12"/>
    </row>
    <row r="776" spans="2:4" ht="12.5">
      <c r="B776" s="15"/>
      <c r="D776" s="12"/>
    </row>
    <row r="777" spans="2:4" ht="12.5">
      <c r="B777" s="15"/>
      <c r="D777" s="12"/>
    </row>
    <row r="778" spans="2:4" ht="12.5">
      <c r="B778" s="15"/>
      <c r="D778" s="12"/>
    </row>
    <row r="779" spans="2:4" ht="12.5">
      <c r="B779" s="15"/>
      <c r="D779" s="12"/>
    </row>
    <row r="780" spans="2:4" ht="12.5">
      <c r="B780" s="15"/>
      <c r="D780" s="12"/>
    </row>
    <row r="781" spans="2:4" ht="12.5">
      <c r="B781" s="15"/>
      <c r="D781" s="12"/>
    </row>
    <row r="782" spans="2:4" ht="12.5">
      <c r="B782" s="15"/>
      <c r="D782" s="12"/>
    </row>
    <row r="783" spans="2:4" ht="12.5">
      <c r="B783" s="15"/>
      <c r="D783" s="12"/>
    </row>
    <row r="784" spans="2:4" ht="12.5">
      <c r="B784" s="15"/>
      <c r="D784" s="12"/>
    </row>
    <row r="785" spans="2:4" ht="12.5">
      <c r="B785" s="15"/>
      <c r="D785" s="12"/>
    </row>
    <row r="786" spans="2:4" ht="12.5">
      <c r="B786" s="15"/>
      <c r="D786" s="12"/>
    </row>
    <row r="787" spans="2:4" ht="12.5">
      <c r="B787" s="15"/>
      <c r="D787" s="12"/>
    </row>
    <row r="788" spans="2:4" ht="12.5">
      <c r="B788" s="15"/>
      <c r="D788" s="12"/>
    </row>
    <row r="789" spans="2:4" ht="12.5">
      <c r="B789" s="15"/>
      <c r="D789" s="12"/>
    </row>
    <row r="790" spans="2:4" ht="12.5">
      <c r="B790" s="15"/>
      <c r="D790" s="12"/>
    </row>
    <row r="791" spans="2:4" ht="12.5">
      <c r="B791" s="15"/>
      <c r="D791" s="12"/>
    </row>
    <row r="792" spans="2:4" ht="12.5">
      <c r="B792" s="15"/>
      <c r="D792" s="12"/>
    </row>
    <row r="793" spans="2:4" ht="12.5">
      <c r="B793" s="15"/>
      <c r="D793" s="12"/>
    </row>
    <row r="794" spans="2:4" ht="12.5">
      <c r="B794" s="15"/>
      <c r="D794" s="12"/>
    </row>
    <row r="795" spans="2:4" ht="12.5">
      <c r="B795" s="15"/>
      <c r="D795" s="12"/>
    </row>
    <row r="796" spans="2:4" ht="12.5">
      <c r="B796" s="15"/>
      <c r="D796" s="12"/>
    </row>
    <row r="797" spans="2:4" ht="12.5">
      <c r="B797" s="15"/>
      <c r="D797" s="12"/>
    </row>
    <row r="798" spans="2:4" ht="12.5">
      <c r="B798" s="15"/>
      <c r="D798" s="12"/>
    </row>
    <row r="799" spans="2:4" ht="12.5">
      <c r="B799" s="15"/>
      <c r="D799" s="12"/>
    </row>
    <row r="800" spans="2:4" ht="12.5">
      <c r="B800" s="15"/>
      <c r="D800" s="12"/>
    </row>
    <row r="801" spans="2:4" ht="12.5">
      <c r="B801" s="15"/>
      <c r="D801" s="12"/>
    </row>
    <row r="802" spans="2:4" ht="12.5">
      <c r="B802" s="15"/>
      <c r="D802" s="12"/>
    </row>
    <row r="803" spans="2:4" ht="12.5">
      <c r="B803" s="15"/>
      <c r="D803" s="12"/>
    </row>
    <row r="804" spans="2:4" ht="12.5">
      <c r="B804" s="15"/>
      <c r="D804" s="12"/>
    </row>
    <row r="805" spans="2:4" ht="12.5">
      <c r="B805" s="15"/>
      <c r="D805" s="12"/>
    </row>
    <row r="806" spans="2:4" ht="12.5">
      <c r="B806" s="15"/>
      <c r="D806" s="12"/>
    </row>
    <row r="807" spans="2:4" ht="12.5">
      <c r="B807" s="15"/>
      <c r="D807" s="12"/>
    </row>
    <row r="808" spans="2:4" ht="12.5">
      <c r="B808" s="15"/>
      <c r="D808" s="12"/>
    </row>
    <row r="809" spans="2:4" ht="12.5">
      <c r="B809" s="15"/>
      <c r="D809" s="12"/>
    </row>
    <row r="810" spans="2:4" ht="12.5">
      <c r="B810" s="15"/>
      <c r="D810" s="12"/>
    </row>
    <row r="811" spans="2:4" ht="12.5">
      <c r="B811" s="15"/>
      <c r="D811" s="12"/>
    </row>
    <row r="812" spans="2:4" ht="12.5">
      <c r="B812" s="15"/>
      <c r="D812" s="12"/>
    </row>
    <row r="813" spans="2:4" ht="12.5">
      <c r="B813" s="15"/>
      <c r="D813" s="12"/>
    </row>
    <row r="814" spans="2:4" ht="12.5">
      <c r="B814" s="15"/>
      <c r="D814" s="12"/>
    </row>
    <row r="815" spans="2:4" ht="12.5">
      <c r="B815" s="15"/>
      <c r="D815" s="12"/>
    </row>
    <row r="816" spans="2:4" ht="12.5">
      <c r="B816" s="15"/>
      <c r="D816" s="12"/>
    </row>
    <row r="817" spans="2:4" ht="12.5">
      <c r="B817" s="15"/>
      <c r="D817" s="12"/>
    </row>
    <row r="818" spans="2:4" ht="12.5">
      <c r="B818" s="15"/>
      <c r="D818" s="12"/>
    </row>
    <row r="819" spans="2:4" ht="12.5">
      <c r="B819" s="15"/>
      <c r="D819" s="12"/>
    </row>
    <row r="820" spans="2:4" ht="12.5">
      <c r="B820" s="15"/>
      <c r="D820" s="12"/>
    </row>
    <row r="821" spans="2:4" ht="12.5">
      <c r="B821" s="15"/>
      <c r="D821" s="12"/>
    </row>
    <row r="822" spans="2:4" ht="12.5">
      <c r="B822" s="15"/>
      <c r="D822" s="12"/>
    </row>
    <row r="823" spans="2:4" ht="12.5">
      <c r="B823" s="15"/>
      <c r="D823" s="12"/>
    </row>
    <row r="824" spans="2:4" ht="12.5">
      <c r="B824" s="15"/>
      <c r="D824" s="12"/>
    </row>
    <row r="825" spans="2:4" ht="12.5">
      <c r="B825" s="15"/>
      <c r="D825" s="12"/>
    </row>
    <row r="826" spans="2:4" ht="12.5">
      <c r="B826" s="15"/>
      <c r="D826" s="12"/>
    </row>
    <row r="827" spans="2:4" ht="12.5">
      <c r="B827" s="15"/>
      <c r="D827" s="12"/>
    </row>
    <row r="828" spans="2:4" ht="12.5">
      <c r="B828" s="15"/>
      <c r="D828" s="12"/>
    </row>
    <row r="829" spans="2:4" ht="12.5">
      <c r="B829" s="15"/>
      <c r="D829" s="12"/>
    </row>
    <row r="830" spans="2:4" ht="12.5">
      <c r="B830" s="15"/>
      <c r="D830" s="12"/>
    </row>
    <row r="831" spans="2:4" ht="12.5">
      <c r="B831" s="15"/>
      <c r="D831" s="12"/>
    </row>
    <row r="832" spans="2:4" ht="12.5">
      <c r="B832" s="15"/>
      <c r="D832" s="12"/>
    </row>
    <row r="833" spans="2:4" ht="12.5">
      <c r="B833" s="15"/>
      <c r="D833" s="12"/>
    </row>
    <row r="834" spans="2:4" ht="12.5">
      <c r="B834" s="15"/>
      <c r="D834" s="12"/>
    </row>
    <row r="835" spans="2:4" ht="12.5">
      <c r="B835" s="15"/>
      <c r="D835" s="12"/>
    </row>
    <row r="836" spans="2:4" ht="12.5">
      <c r="B836" s="15"/>
      <c r="D836" s="12"/>
    </row>
    <row r="837" spans="2:4" ht="12.5">
      <c r="B837" s="15"/>
      <c r="D837" s="12"/>
    </row>
    <row r="838" spans="2:4" ht="12.5">
      <c r="B838" s="15"/>
      <c r="D838" s="12"/>
    </row>
    <row r="839" spans="2:4" ht="12.5">
      <c r="B839" s="15"/>
      <c r="D839" s="12"/>
    </row>
    <row r="840" spans="2:4" ht="12.5">
      <c r="B840" s="15"/>
      <c r="D840" s="12"/>
    </row>
    <row r="841" spans="2:4" ht="12.5">
      <c r="B841" s="15"/>
      <c r="D841" s="12"/>
    </row>
    <row r="842" spans="2:4" ht="12.5">
      <c r="B842" s="15"/>
      <c r="D842" s="12"/>
    </row>
    <row r="843" spans="2:4" ht="12.5">
      <c r="B843" s="15"/>
      <c r="D843" s="12"/>
    </row>
    <row r="844" spans="2:4" ht="12.5">
      <c r="B844" s="15"/>
      <c r="D844" s="12"/>
    </row>
    <row r="845" spans="2:4" ht="12.5">
      <c r="B845" s="15"/>
      <c r="D845" s="12"/>
    </row>
    <row r="846" spans="2:4" ht="12.5">
      <c r="B846" s="15"/>
      <c r="D846" s="12"/>
    </row>
    <row r="847" spans="2:4" ht="12.5">
      <c r="B847" s="15"/>
      <c r="D847" s="12"/>
    </row>
    <row r="848" spans="2:4" ht="12.5">
      <c r="B848" s="15"/>
      <c r="D848" s="12"/>
    </row>
    <row r="849" spans="2:4" ht="12.5">
      <c r="B849" s="15"/>
      <c r="D849" s="12"/>
    </row>
    <row r="850" spans="2:4" ht="12.5">
      <c r="B850" s="15"/>
      <c r="D850" s="12"/>
    </row>
    <row r="851" spans="2:4" ht="12.5">
      <c r="B851" s="15"/>
      <c r="D851" s="12"/>
    </row>
    <row r="852" spans="2:4" ht="12.5">
      <c r="B852" s="15"/>
      <c r="D852" s="12"/>
    </row>
    <row r="853" spans="2:4" ht="12.5">
      <c r="B853" s="15"/>
      <c r="D853" s="12"/>
    </row>
    <row r="854" spans="2:4" ht="12.5">
      <c r="B854" s="15"/>
      <c r="D854" s="12"/>
    </row>
    <row r="855" spans="2:4" ht="12.5">
      <c r="B855" s="15"/>
      <c r="D855" s="12"/>
    </row>
    <row r="856" spans="2:4" ht="12.5">
      <c r="B856" s="15"/>
      <c r="D856" s="12"/>
    </row>
    <row r="857" spans="2:4" ht="12.5">
      <c r="B857" s="15"/>
      <c r="D857" s="12"/>
    </row>
    <row r="858" spans="2:4" ht="12.5">
      <c r="B858" s="15"/>
      <c r="D858" s="12"/>
    </row>
    <row r="859" spans="2:4" ht="12.5">
      <c r="B859" s="15"/>
      <c r="D859" s="12"/>
    </row>
    <row r="860" spans="2:4" ht="12.5">
      <c r="B860" s="15"/>
      <c r="D860" s="12"/>
    </row>
    <row r="861" spans="2:4" ht="12.5">
      <c r="B861" s="15"/>
      <c r="D861" s="12"/>
    </row>
    <row r="862" spans="2:4" ht="12.5">
      <c r="B862" s="15"/>
      <c r="D862" s="12"/>
    </row>
    <row r="863" spans="2:4" ht="12.5">
      <c r="B863" s="15"/>
      <c r="D863" s="12"/>
    </row>
    <row r="864" spans="2:4" ht="12.5">
      <c r="B864" s="15"/>
      <c r="D864" s="12"/>
    </row>
    <row r="865" spans="2:4" ht="12.5">
      <c r="B865" s="15"/>
      <c r="D865" s="12"/>
    </row>
    <row r="866" spans="2:4" ht="12.5">
      <c r="B866" s="15"/>
      <c r="D866" s="12"/>
    </row>
    <row r="867" spans="2:4" ht="12.5">
      <c r="B867" s="15"/>
      <c r="D867" s="12"/>
    </row>
    <row r="868" spans="2:4" ht="12.5">
      <c r="B868" s="15"/>
      <c r="D868" s="12"/>
    </row>
    <row r="869" spans="2:4" ht="12.5">
      <c r="B869" s="15"/>
      <c r="D869" s="12"/>
    </row>
    <row r="870" spans="2:4" ht="12.5">
      <c r="B870" s="15"/>
      <c r="D870" s="12"/>
    </row>
    <row r="871" spans="2:4" ht="12.5">
      <c r="B871" s="15"/>
      <c r="D871" s="12"/>
    </row>
    <row r="872" spans="2:4" ht="12.5">
      <c r="B872" s="15"/>
      <c r="D872" s="12"/>
    </row>
    <row r="873" spans="2:4" ht="12.5">
      <c r="B873" s="15"/>
      <c r="D873" s="12"/>
    </row>
    <row r="874" spans="2:4" ht="12.5">
      <c r="B874" s="15"/>
      <c r="D874" s="12"/>
    </row>
    <row r="875" spans="2:4" ht="12.5">
      <c r="B875" s="15"/>
      <c r="D875" s="12"/>
    </row>
    <row r="876" spans="2:4" ht="12.5">
      <c r="B876" s="15"/>
      <c r="D876" s="12"/>
    </row>
    <row r="877" spans="2:4" ht="12.5">
      <c r="B877" s="15"/>
      <c r="D877" s="12"/>
    </row>
    <row r="878" spans="2:4" ht="12.5">
      <c r="B878" s="15"/>
      <c r="D878" s="12"/>
    </row>
    <row r="879" spans="2:4" ht="12.5">
      <c r="B879" s="15"/>
      <c r="D879" s="12"/>
    </row>
    <row r="880" spans="2:4" ht="12.5">
      <c r="B880" s="15"/>
      <c r="D880" s="12"/>
    </row>
    <row r="881" spans="2:4" ht="12.5">
      <c r="B881" s="15"/>
      <c r="D881" s="12"/>
    </row>
    <row r="882" spans="2:4" ht="12.5">
      <c r="B882" s="15"/>
      <c r="D882" s="12"/>
    </row>
    <row r="883" spans="2:4" ht="12.5">
      <c r="B883" s="15"/>
      <c r="D883" s="12"/>
    </row>
    <row r="884" spans="2:4" ht="12.5">
      <c r="B884" s="15"/>
      <c r="D884" s="12"/>
    </row>
    <row r="885" spans="2:4" ht="12.5">
      <c r="B885" s="15"/>
      <c r="D885" s="12"/>
    </row>
    <row r="886" spans="2:4" ht="12.5">
      <c r="B886" s="15"/>
      <c r="D886" s="12"/>
    </row>
    <row r="887" spans="2:4" ht="12.5">
      <c r="B887" s="15"/>
      <c r="D887" s="12"/>
    </row>
    <row r="888" spans="2:4" ht="12.5">
      <c r="B888" s="15"/>
      <c r="D888" s="12"/>
    </row>
    <row r="889" spans="2:4" ht="12.5">
      <c r="B889" s="15"/>
      <c r="D889" s="12"/>
    </row>
    <row r="890" spans="2:4" ht="12.5">
      <c r="B890" s="15"/>
      <c r="D890" s="12"/>
    </row>
    <row r="891" spans="2:4" ht="12.5">
      <c r="B891" s="15"/>
      <c r="D891" s="12"/>
    </row>
    <row r="892" spans="2:4" ht="12.5">
      <c r="B892" s="15"/>
      <c r="D892" s="12"/>
    </row>
    <row r="893" spans="2:4" ht="12.5">
      <c r="B893" s="15"/>
      <c r="D893" s="12"/>
    </row>
    <row r="894" spans="2:4" ht="12.5">
      <c r="B894" s="15"/>
      <c r="D894" s="12"/>
    </row>
    <row r="895" spans="2:4" ht="12.5">
      <c r="B895" s="15"/>
      <c r="D895" s="12"/>
    </row>
    <row r="896" spans="2:4" ht="12.5">
      <c r="B896" s="15"/>
      <c r="D896" s="12"/>
    </row>
    <row r="897" spans="2:4" ht="12.5">
      <c r="B897" s="15"/>
      <c r="D897" s="12"/>
    </row>
    <row r="898" spans="2:4" ht="12.5">
      <c r="B898" s="15"/>
      <c r="D898" s="12"/>
    </row>
    <row r="899" spans="2:4" ht="12.5">
      <c r="B899" s="15"/>
      <c r="D899" s="12"/>
    </row>
    <row r="900" spans="2:4" ht="12.5">
      <c r="B900" s="15"/>
      <c r="D900" s="12"/>
    </row>
    <row r="901" spans="2:4" ht="12.5">
      <c r="B901" s="15"/>
      <c r="D901" s="12"/>
    </row>
    <row r="902" spans="2:4" ht="12.5">
      <c r="B902" s="15"/>
      <c r="D902" s="12"/>
    </row>
    <row r="903" spans="2:4" ht="12.5">
      <c r="B903" s="15"/>
      <c r="D903" s="12"/>
    </row>
    <row r="904" spans="2:4" ht="12.5">
      <c r="B904" s="15"/>
      <c r="D904" s="12"/>
    </row>
    <row r="905" spans="2:4" ht="12.5">
      <c r="B905" s="15"/>
      <c r="D905" s="12"/>
    </row>
    <row r="906" spans="2:4" ht="12.5">
      <c r="B906" s="15"/>
      <c r="D906" s="12"/>
    </row>
    <row r="907" spans="2:4" ht="12.5">
      <c r="B907" s="15"/>
      <c r="D907" s="12"/>
    </row>
    <row r="908" spans="2:4" ht="12.5">
      <c r="B908" s="15"/>
      <c r="D908" s="12"/>
    </row>
    <row r="909" spans="2:4" ht="12.5">
      <c r="B909" s="15"/>
      <c r="D909" s="12"/>
    </row>
    <row r="910" spans="2:4" ht="12.5">
      <c r="B910" s="15"/>
      <c r="D910" s="12"/>
    </row>
    <row r="911" spans="2:4" ht="12.5">
      <c r="B911" s="15"/>
      <c r="D911" s="12"/>
    </row>
    <row r="912" spans="2:4" ht="12.5">
      <c r="B912" s="15"/>
      <c r="D912" s="12"/>
    </row>
    <row r="913" spans="2:4" ht="12.5">
      <c r="B913" s="15"/>
      <c r="D913" s="12"/>
    </row>
    <row r="914" spans="2:4" ht="12.5">
      <c r="B914" s="15"/>
      <c r="D914" s="12"/>
    </row>
    <row r="915" spans="2:4" ht="12.5">
      <c r="B915" s="15"/>
      <c r="D915" s="12"/>
    </row>
    <row r="916" spans="2:4" ht="12.5">
      <c r="B916" s="15"/>
      <c r="D916" s="12"/>
    </row>
    <row r="917" spans="2:4" ht="12.5">
      <c r="B917" s="15"/>
      <c r="D917" s="12"/>
    </row>
    <row r="918" spans="2:4" ht="12.5">
      <c r="B918" s="15"/>
      <c r="D918" s="12"/>
    </row>
    <row r="919" spans="2:4" ht="12.5">
      <c r="B919" s="15"/>
      <c r="D919" s="12"/>
    </row>
    <row r="920" spans="2:4" ht="12.5">
      <c r="B920" s="15"/>
      <c r="D920" s="12"/>
    </row>
    <row r="921" spans="2:4" ht="12.5">
      <c r="B921" s="15"/>
      <c r="D921" s="12"/>
    </row>
    <row r="922" spans="2:4" ht="12.5">
      <c r="B922" s="15"/>
      <c r="D922" s="12"/>
    </row>
    <row r="923" spans="2:4" ht="12.5">
      <c r="B923" s="15"/>
      <c r="D923" s="12"/>
    </row>
    <row r="924" spans="2:4" ht="12.5">
      <c r="B924" s="15"/>
      <c r="D924" s="12"/>
    </row>
    <row r="925" spans="2:4" ht="12.5">
      <c r="B925" s="15"/>
      <c r="D925" s="12"/>
    </row>
    <row r="926" spans="2:4" ht="12.5">
      <c r="B926" s="15"/>
      <c r="D926" s="12"/>
    </row>
    <row r="927" spans="2:4" ht="12.5">
      <c r="B927" s="15"/>
      <c r="D927" s="12"/>
    </row>
    <row r="928" spans="2:4" ht="12.5">
      <c r="B928" s="15"/>
      <c r="D928" s="12"/>
    </row>
    <row r="929" spans="2:4" ht="12.5">
      <c r="B929" s="15"/>
      <c r="D929" s="12"/>
    </row>
    <row r="930" spans="2:4" ht="12.5">
      <c r="B930" s="15"/>
      <c r="D930" s="12"/>
    </row>
    <row r="931" spans="2:4" ht="12.5">
      <c r="B931" s="15"/>
      <c r="D931" s="12"/>
    </row>
    <row r="932" spans="2:4" ht="12.5">
      <c r="B932" s="15"/>
      <c r="D932" s="12"/>
    </row>
    <row r="933" spans="2:4" ht="12.5">
      <c r="B933" s="15"/>
      <c r="D933" s="12"/>
    </row>
    <row r="934" spans="2:4" ht="12.5">
      <c r="B934" s="15"/>
      <c r="D934" s="12"/>
    </row>
    <row r="935" spans="2:4" ht="12.5">
      <c r="B935" s="15"/>
      <c r="D935" s="12"/>
    </row>
    <row r="936" spans="2:4" ht="12.5">
      <c r="B936" s="15"/>
      <c r="D936" s="12"/>
    </row>
    <row r="937" spans="2:4" ht="12.5">
      <c r="B937" s="15"/>
      <c r="D937" s="12"/>
    </row>
    <row r="938" spans="2:4" ht="12.5">
      <c r="B938" s="15"/>
      <c r="D938" s="12"/>
    </row>
    <row r="939" spans="2:4" ht="12.5">
      <c r="B939" s="15"/>
      <c r="D939" s="12"/>
    </row>
    <row r="940" spans="2:4" ht="12.5">
      <c r="B940" s="15"/>
      <c r="D940" s="12"/>
    </row>
    <row r="941" spans="2:4" ht="12.5">
      <c r="B941" s="15"/>
      <c r="D941" s="12"/>
    </row>
    <row r="942" spans="2:4" ht="12.5">
      <c r="B942" s="15"/>
      <c r="D942" s="12"/>
    </row>
    <row r="943" spans="2:4" ht="12.5">
      <c r="B943" s="15"/>
      <c r="D943" s="12"/>
    </row>
    <row r="944" spans="2:4" ht="12.5">
      <c r="B944" s="15"/>
      <c r="D944" s="12"/>
    </row>
    <row r="945" spans="2:4" ht="12.5">
      <c r="B945" s="15"/>
      <c r="D945" s="12"/>
    </row>
    <row r="946" spans="2:4" ht="12.5">
      <c r="B946" s="15"/>
      <c r="D946" s="12"/>
    </row>
    <row r="947" spans="2:4" ht="12.5">
      <c r="B947" s="15"/>
      <c r="D947" s="12"/>
    </row>
    <row r="948" spans="2:4" ht="12.5">
      <c r="B948" s="15"/>
      <c r="D948" s="12"/>
    </row>
    <row r="949" spans="2:4" ht="12.5">
      <c r="B949" s="15"/>
      <c r="D949" s="12"/>
    </row>
    <row r="950" spans="2:4" ht="12.5">
      <c r="B950" s="15"/>
      <c r="D950" s="12"/>
    </row>
    <row r="951" spans="2:4" ht="12.5">
      <c r="B951" s="15"/>
      <c r="D951" s="12"/>
    </row>
    <row r="952" spans="2:4" ht="12.5">
      <c r="B952" s="15"/>
      <c r="D95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3"/>
  <sheetViews>
    <sheetView tabSelected="1" workbookViewId="0">
      <selection activeCell="G14" sqref="G14"/>
    </sheetView>
  </sheetViews>
  <sheetFormatPr defaultColWidth="12.6328125" defaultRowHeight="15.75" customHeight="1"/>
  <cols>
    <col min="1" max="1" width="16.36328125" customWidth="1"/>
    <col min="2" max="2" width="14.08984375" customWidth="1"/>
    <col min="3" max="3" width="58.26953125" customWidth="1"/>
    <col min="4" max="4" width="10.7265625" customWidth="1"/>
    <col min="5" max="5" width="5.7265625" customWidth="1"/>
    <col min="6" max="6" width="15.08984375" customWidth="1"/>
    <col min="7" max="7" width="33.26953125" customWidth="1"/>
    <col min="8" max="8" width="17.08984375" customWidth="1"/>
  </cols>
  <sheetData>
    <row r="1" spans="1:22" ht="15" customHeight="1">
      <c r="A1" s="21" t="s">
        <v>3</v>
      </c>
      <c r="B1" s="21" t="s">
        <v>4</v>
      </c>
      <c r="C1" s="21" t="s">
        <v>5</v>
      </c>
      <c r="D1" s="22" t="s">
        <v>6</v>
      </c>
      <c r="E1" s="22" t="s">
        <v>7</v>
      </c>
      <c r="F1" s="23" t="s">
        <v>8</v>
      </c>
      <c r="G1" s="21" t="s">
        <v>9</v>
      </c>
      <c r="H1" s="21" t="s">
        <v>10</v>
      </c>
      <c r="I1" s="22" t="s">
        <v>11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ht="15.75" customHeight="1">
      <c r="A2" s="24">
        <v>46086.358718657408</v>
      </c>
      <c r="B2" s="25" t="s">
        <v>12</v>
      </c>
      <c r="C2" s="25" t="s">
        <v>925</v>
      </c>
      <c r="D2" s="25" t="s">
        <v>15</v>
      </c>
      <c r="E2" s="25">
        <v>2026</v>
      </c>
      <c r="F2" s="25">
        <v>98000000</v>
      </c>
      <c r="G2" s="25" t="s">
        <v>16</v>
      </c>
    </row>
    <row r="3" spans="1:22" ht="15.75" customHeight="1">
      <c r="A3" s="24">
        <v>46086.375660543985</v>
      </c>
      <c r="B3" s="25" t="s">
        <v>12</v>
      </c>
      <c r="C3" s="25" t="s">
        <v>924</v>
      </c>
      <c r="D3" s="25" t="s">
        <v>17</v>
      </c>
      <c r="E3" s="25">
        <v>2026</v>
      </c>
      <c r="F3" s="25">
        <v>500000</v>
      </c>
      <c r="G3" s="25" t="s">
        <v>14</v>
      </c>
      <c r="H3" s="25" t="s">
        <v>13</v>
      </c>
      <c r="I3" s="25">
        <v>450000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6"/>
  <sheetViews>
    <sheetView workbookViewId="0">
      <selection sqref="A1:G1"/>
    </sheetView>
  </sheetViews>
  <sheetFormatPr defaultColWidth="12.6328125" defaultRowHeight="15.75" customHeight="1"/>
  <cols>
    <col min="1" max="1" width="10.453125" customWidth="1"/>
    <col min="4" max="4" width="20" customWidth="1"/>
    <col min="5" max="5" width="27.90625" customWidth="1"/>
    <col min="7" max="7" width="22.90625" customWidth="1"/>
  </cols>
  <sheetData>
    <row r="1" spans="1:7" ht="14">
      <c r="A1" s="61" t="s">
        <v>18</v>
      </c>
      <c r="B1" s="60"/>
      <c r="C1" s="60"/>
      <c r="D1" s="60"/>
      <c r="E1" s="60"/>
      <c r="F1" s="60"/>
      <c r="G1" s="60"/>
    </row>
    <row r="3" spans="1:7" ht="12.5">
      <c r="A3" s="59" t="s">
        <v>19</v>
      </c>
      <c r="B3" s="60"/>
      <c r="C3" s="60"/>
      <c r="D3" s="60"/>
      <c r="E3" s="60"/>
      <c r="F3" s="60"/>
      <c r="G3" s="60"/>
    </row>
    <row r="4" spans="1:7" ht="35.25" customHeight="1">
      <c r="A4" s="62" t="s">
        <v>20</v>
      </c>
      <c r="B4" s="60"/>
      <c r="C4" s="60"/>
      <c r="D4" s="60"/>
      <c r="E4" s="60"/>
    </row>
    <row r="5" spans="1:7" ht="12.5">
      <c r="A5" s="63" t="s">
        <v>21</v>
      </c>
      <c r="B5" s="64"/>
      <c r="C5" s="64"/>
      <c r="D5" s="64"/>
      <c r="E5" s="65"/>
      <c r="G5" s="25" t="s">
        <v>22</v>
      </c>
    </row>
    <row r="6" spans="1:7" ht="12.5">
      <c r="A6" s="27" t="s">
        <v>23</v>
      </c>
      <c r="B6" s="27">
        <v>2886</v>
      </c>
      <c r="C6" s="27" t="s">
        <v>24</v>
      </c>
      <c r="D6" s="27">
        <v>52</v>
      </c>
      <c r="E6" s="27" t="s">
        <v>25</v>
      </c>
      <c r="G6" s="16" t="s">
        <v>26</v>
      </c>
    </row>
    <row r="7" spans="1:7" ht="12.5">
      <c r="A7" s="28" t="s">
        <v>27</v>
      </c>
      <c r="B7" s="28" t="s">
        <v>28</v>
      </c>
      <c r="C7" s="28" t="s">
        <v>29</v>
      </c>
      <c r="D7" s="28" t="s">
        <v>30</v>
      </c>
      <c r="E7" s="28" t="s">
        <v>31</v>
      </c>
    </row>
    <row r="9" spans="1:7" ht="12.5">
      <c r="A9" s="66" t="s">
        <v>32</v>
      </c>
      <c r="B9" s="60"/>
      <c r="C9" s="60"/>
      <c r="D9" s="60"/>
      <c r="E9" s="60"/>
    </row>
    <row r="11" spans="1:7" ht="12.5">
      <c r="A11" s="59" t="s">
        <v>33</v>
      </c>
      <c r="B11" s="60"/>
      <c r="C11" s="60"/>
      <c r="D11" s="60"/>
      <c r="E11" s="60"/>
      <c r="F11" s="60"/>
      <c r="G11" s="60"/>
    </row>
    <row r="12" spans="1:7" ht="12.5">
      <c r="A12" s="59" t="s">
        <v>34</v>
      </c>
      <c r="B12" s="60"/>
      <c r="C12" s="60"/>
      <c r="D12" s="60"/>
      <c r="E12" s="60"/>
      <c r="F12" s="60"/>
      <c r="G12" s="26"/>
    </row>
    <row r="14" spans="1:7" ht="12.5">
      <c r="A14" s="59" t="s">
        <v>35</v>
      </c>
      <c r="B14" s="60"/>
      <c r="C14" s="60"/>
      <c r="D14" s="60"/>
      <c r="E14" s="60"/>
      <c r="F14" s="60"/>
      <c r="G14" s="60"/>
    </row>
    <row r="16" spans="1:7" ht="12.5">
      <c r="A16" s="59" t="s">
        <v>36</v>
      </c>
      <c r="B16" s="60"/>
      <c r="C16" s="60"/>
      <c r="D16" s="60"/>
      <c r="E16" s="60"/>
      <c r="F16" s="60"/>
      <c r="G16" s="60"/>
    </row>
  </sheetData>
  <mergeCells count="9">
    <mergeCell ref="A14:G14"/>
    <mergeCell ref="A16:G16"/>
    <mergeCell ref="A1:G1"/>
    <mergeCell ref="A3:G3"/>
    <mergeCell ref="A4:E4"/>
    <mergeCell ref="A5:E5"/>
    <mergeCell ref="A9:E9"/>
    <mergeCell ref="A11:G11"/>
    <mergeCell ref="A12:F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28"/>
  <sheetViews>
    <sheetView workbookViewId="0"/>
  </sheetViews>
  <sheetFormatPr defaultColWidth="12.6328125" defaultRowHeight="15.75" customHeight="1"/>
  <cols>
    <col min="2" max="2" width="4.36328125" customWidth="1"/>
    <col min="3" max="3" width="0.36328125" customWidth="1"/>
  </cols>
  <sheetData>
    <row r="1" spans="1:26" ht="15.75" customHeight="1">
      <c r="A1" s="86" t="s">
        <v>37</v>
      </c>
      <c r="B1" s="60"/>
      <c r="C1" s="60"/>
      <c r="D1" s="86" t="s">
        <v>38</v>
      </c>
      <c r="E1" s="60"/>
      <c r="F1" s="60"/>
      <c r="G1" s="29"/>
      <c r="H1" s="29"/>
      <c r="I1" s="30"/>
      <c r="J1" s="31">
        <v>1210145000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5.75" customHeight="1">
      <c r="A2" s="70" t="s">
        <v>39</v>
      </c>
      <c r="B2" s="60"/>
      <c r="C2" s="60"/>
      <c r="D2" s="70" t="s">
        <v>40</v>
      </c>
      <c r="E2" s="60"/>
      <c r="F2" s="60"/>
      <c r="G2" s="29"/>
      <c r="H2" s="29"/>
      <c r="I2" s="30"/>
      <c r="J2" s="32">
        <v>170000</v>
      </c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15.75" customHeight="1">
      <c r="A3" s="71" t="s">
        <v>41</v>
      </c>
      <c r="B3" s="60"/>
      <c r="C3" s="60"/>
      <c r="D3" s="71" t="s">
        <v>42</v>
      </c>
      <c r="E3" s="60"/>
      <c r="F3" s="60"/>
      <c r="G3" s="33" t="s">
        <v>43</v>
      </c>
      <c r="H3" s="29"/>
      <c r="I3" s="30"/>
      <c r="J3" s="34">
        <v>170000</v>
      </c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15.75" customHeight="1">
      <c r="A4" s="29"/>
      <c r="B4" s="29"/>
      <c r="C4" s="29"/>
      <c r="D4" s="68" t="s">
        <v>44</v>
      </c>
      <c r="E4" s="60"/>
      <c r="F4" s="60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5.75" customHeight="1">
      <c r="A5" s="69" t="s">
        <v>45</v>
      </c>
      <c r="B5" s="60"/>
      <c r="C5" s="60"/>
      <c r="D5" s="69" t="s">
        <v>46</v>
      </c>
      <c r="E5" s="60"/>
      <c r="F5" s="60"/>
      <c r="G5" s="36" t="s">
        <v>47</v>
      </c>
      <c r="H5" s="29"/>
      <c r="I5" s="30"/>
      <c r="J5" s="37">
        <v>170000</v>
      </c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5.75" customHeight="1">
      <c r="A6" s="69" t="s">
        <v>48</v>
      </c>
      <c r="B6" s="60"/>
      <c r="C6" s="60"/>
      <c r="D6" s="69" t="s">
        <v>49</v>
      </c>
      <c r="E6" s="60"/>
      <c r="F6" s="60"/>
      <c r="G6" s="38" t="s">
        <v>50</v>
      </c>
      <c r="H6" s="29"/>
      <c r="I6" s="30"/>
      <c r="J6" s="37">
        <v>170000</v>
      </c>
      <c r="K6" s="39" t="s">
        <v>51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5.75" customHeight="1">
      <c r="A7" s="67" t="s">
        <v>52</v>
      </c>
      <c r="B7" s="60"/>
      <c r="C7" s="60"/>
      <c r="D7" s="67" t="s">
        <v>53</v>
      </c>
      <c r="E7" s="60"/>
      <c r="F7" s="60"/>
      <c r="G7" s="29"/>
      <c r="H7" s="29"/>
      <c r="I7" s="30"/>
      <c r="J7" s="40">
        <v>170000</v>
      </c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15.75" customHeight="1">
      <c r="A8" s="68" t="s">
        <v>54</v>
      </c>
      <c r="B8" s="60"/>
      <c r="C8" s="60"/>
      <c r="D8" s="72" t="s">
        <v>55</v>
      </c>
      <c r="E8" s="60"/>
      <c r="F8" s="60"/>
      <c r="G8" s="29"/>
      <c r="H8" s="29"/>
      <c r="I8" s="30"/>
      <c r="J8" s="41">
        <v>170000</v>
      </c>
      <c r="K8" s="29"/>
      <c r="L8" s="82" t="s">
        <v>56</v>
      </c>
      <c r="M8" s="60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15.75" customHeight="1">
      <c r="A9" s="29"/>
      <c r="B9" s="29"/>
      <c r="C9" s="29"/>
      <c r="D9" s="68" t="s">
        <v>57</v>
      </c>
      <c r="E9" s="60"/>
      <c r="F9" s="60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15.75" customHeight="1">
      <c r="A10" s="29"/>
      <c r="B10" s="29"/>
      <c r="C10" s="29"/>
      <c r="D10" s="35" t="s">
        <v>58</v>
      </c>
      <c r="E10" s="68" t="s">
        <v>59</v>
      </c>
      <c r="F10" s="60"/>
      <c r="G10" s="42" t="s">
        <v>60</v>
      </c>
      <c r="H10" s="87">
        <v>170000</v>
      </c>
      <c r="I10" s="60"/>
      <c r="J10" s="41">
        <v>170000</v>
      </c>
      <c r="K10" s="29"/>
      <c r="L10" s="83"/>
      <c r="M10" s="60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15.75" customHeight="1">
      <c r="A11" s="70" t="s">
        <v>61</v>
      </c>
      <c r="B11" s="60"/>
      <c r="C11" s="60"/>
      <c r="D11" s="70" t="s">
        <v>62</v>
      </c>
      <c r="E11" s="60"/>
      <c r="F11" s="60"/>
      <c r="G11" s="29"/>
      <c r="H11" s="29"/>
      <c r="I11" s="30"/>
      <c r="J11" s="32">
        <v>3040000</v>
      </c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15.75" customHeight="1">
      <c r="A12" s="71" t="s">
        <v>63</v>
      </c>
      <c r="B12" s="60"/>
      <c r="C12" s="60"/>
      <c r="D12" s="71" t="s">
        <v>42</v>
      </c>
      <c r="E12" s="60"/>
      <c r="F12" s="60"/>
      <c r="G12" s="33" t="s">
        <v>64</v>
      </c>
      <c r="H12" s="29"/>
      <c r="I12" s="30"/>
      <c r="J12" s="34">
        <v>510000</v>
      </c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5.75" customHeight="1">
      <c r="A13" s="29"/>
      <c r="B13" s="29"/>
      <c r="C13" s="29"/>
      <c r="D13" s="68" t="s">
        <v>44</v>
      </c>
      <c r="E13" s="60"/>
      <c r="F13" s="60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5.75" customHeight="1">
      <c r="A14" s="69" t="s">
        <v>65</v>
      </c>
      <c r="B14" s="60"/>
      <c r="C14" s="60"/>
      <c r="D14" s="69" t="s">
        <v>66</v>
      </c>
      <c r="E14" s="60"/>
      <c r="F14" s="60"/>
      <c r="G14" s="36" t="s">
        <v>67</v>
      </c>
      <c r="H14" s="29"/>
      <c r="I14" s="30"/>
      <c r="J14" s="37">
        <v>510000</v>
      </c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15.75" customHeight="1">
      <c r="A15" s="69" t="s">
        <v>48</v>
      </c>
      <c r="B15" s="60"/>
      <c r="C15" s="60"/>
      <c r="D15" s="69" t="s">
        <v>49</v>
      </c>
      <c r="E15" s="60"/>
      <c r="F15" s="60"/>
      <c r="G15" s="38" t="s">
        <v>50</v>
      </c>
      <c r="H15" s="29"/>
      <c r="I15" s="30"/>
      <c r="J15" s="37">
        <v>510000</v>
      </c>
      <c r="K15" s="39" t="s">
        <v>51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5.75" customHeight="1">
      <c r="A16" s="67" t="s">
        <v>52</v>
      </c>
      <c r="B16" s="60"/>
      <c r="C16" s="60"/>
      <c r="D16" s="67" t="s">
        <v>53</v>
      </c>
      <c r="E16" s="60"/>
      <c r="F16" s="60"/>
      <c r="G16" s="29"/>
      <c r="H16" s="29"/>
      <c r="I16" s="30"/>
      <c r="J16" s="40">
        <v>510000</v>
      </c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5.75" customHeight="1">
      <c r="A17" s="68" t="s">
        <v>54</v>
      </c>
      <c r="B17" s="60"/>
      <c r="C17" s="60"/>
      <c r="D17" s="72" t="s">
        <v>55</v>
      </c>
      <c r="E17" s="60"/>
      <c r="F17" s="60"/>
      <c r="G17" s="29"/>
      <c r="H17" s="29"/>
      <c r="I17" s="30"/>
      <c r="J17" s="41">
        <v>510000</v>
      </c>
      <c r="K17" s="29"/>
      <c r="L17" s="82" t="s">
        <v>56</v>
      </c>
      <c r="M17" s="60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5.75" customHeight="1">
      <c r="A18" s="29"/>
      <c r="B18" s="29"/>
      <c r="C18" s="29"/>
      <c r="D18" s="68" t="s">
        <v>57</v>
      </c>
      <c r="E18" s="60"/>
      <c r="F18" s="60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5.75" customHeight="1">
      <c r="A19" s="29"/>
      <c r="B19" s="29"/>
      <c r="C19" s="29"/>
      <c r="D19" s="35" t="s">
        <v>58</v>
      </c>
      <c r="E19" s="68" t="s">
        <v>68</v>
      </c>
      <c r="F19" s="60"/>
      <c r="G19" s="42" t="s">
        <v>69</v>
      </c>
      <c r="H19" s="87">
        <v>170000</v>
      </c>
      <c r="I19" s="60"/>
      <c r="J19" s="41">
        <v>510000</v>
      </c>
      <c r="K19" s="29"/>
      <c r="L19" s="83"/>
      <c r="M19" s="60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5.75" customHeight="1">
      <c r="A20" s="71" t="s">
        <v>70</v>
      </c>
      <c r="B20" s="60"/>
      <c r="C20" s="60"/>
      <c r="D20" s="71" t="s">
        <v>71</v>
      </c>
      <c r="E20" s="60"/>
      <c r="F20" s="60"/>
      <c r="G20" s="33" t="s">
        <v>72</v>
      </c>
      <c r="H20" s="29"/>
      <c r="I20" s="30"/>
      <c r="J20" s="34">
        <v>2530000</v>
      </c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5.75" customHeight="1">
      <c r="A21" s="29"/>
      <c r="B21" s="29"/>
      <c r="C21" s="29"/>
      <c r="D21" s="68" t="s">
        <v>44</v>
      </c>
      <c r="E21" s="60"/>
      <c r="F21" s="60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4.5">
      <c r="A22" s="69" t="s">
        <v>73</v>
      </c>
      <c r="B22" s="60"/>
      <c r="C22" s="60"/>
      <c r="D22" s="69" t="s">
        <v>74</v>
      </c>
      <c r="E22" s="60"/>
      <c r="F22" s="60"/>
      <c r="G22" s="36" t="s">
        <v>72</v>
      </c>
      <c r="H22" s="29"/>
      <c r="I22" s="30"/>
      <c r="J22" s="37">
        <v>2530000</v>
      </c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4.5">
      <c r="A23" s="69" t="s">
        <v>48</v>
      </c>
      <c r="B23" s="60"/>
      <c r="C23" s="60"/>
      <c r="D23" s="69" t="s">
        <v>49</v>
      </c>
      <c r="E23" s="60"/>
      <c r="F23" s="60"/>
      <c r="G23" s="38" t="s">
        <v>50</v>
      </c>
      <c r="H23" s="29"/>
      <c r="I23" s="30"/>
      <c r="J23" s="37">
        <v>2530000</v>
      </c>
      <c r="K23" s="39" t="s">
        <v>51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4.5">
      <c r="A24" s="67" t="s">
        <v>52</v>
      </c>
      <c r="B24" s="60"/>
      <c r="C24" s="60"/>
      <c r="D24" s="67" t="s">
        <v>53</v>
      </c>
      <c r="E24" s="60"/>
      <c r="F24" s="60"/>
      <c r="G24" s="29"/>
      <c r="H24" s="29"/>
      <c r="I24" s="30"/>
      <c r="J24" s="40">
        <v>2530000</v>
      </c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4.5">
      <c r="A25" s="68" t="s">
        <v>75</v>
      </c>
      <c r="B25" s="60"/>
      <c r="C25" s="60"/>
      <c r="D25" s="72" t="s">
        <v>76</v>
      </c>
      <c r="E25" s="60"/>
      <c r="F25" s="60"/>
      <c r="G25" s="29"/>
      <c r="H25" s="29"/>
      <c r="I25" s="30"/>
      <c r="J25" s="41">
        <v>1000000</v>
      </c>
      <c r="K25" s="29"/>
      <c r="L25" s="82" t="s">
        <v>56</v>
      </c>
      <c r="M25" s="60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4.5">
      <c r="A26" s="29"/>
      <c r="B26" s="29"/>
      <c r="C26" s="29"/>
      <c r="D26" s="68" t="s">
        <v>57</v>
      </c>
      <c r="E26" s="60"/>
      <c r="F26" s="60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4.5">
      <c r="A27" s="29"/>
      <c r="B27" s="29"/>
      <c r="C27" s="29"/>
      <c r="D27" s="35" t="s">
        <v>58</v>
      </c>
      <c r="E27" s="68" t="s">
        <v>77</v>
      </c>
      <c r="F27" s="60"/>
      <c r="G27" s="42" t="s">
        <v>78</v>
      </c>
      <c r="H27" s="87">
        <v>1000000</v>
      </c>
      <c r="I27" s="60"/>
      <c r="J27" s="41">
        <v>1000000</v>
      </c>
      <c r="K27" s="29"/>
      <c r="L27" s="83"/>
      <c r="M27" s="60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4.5">
      <c r="A28" s="68" t="s">
        <v>54</v>
      </c>
      <c r="B28" s="60"/>
      <c r="C28" s="60"/>
      <c r="D28" s="72" t="s">
        <v>55</v>
      </c>
      <c r="E28" s="60"/>
      <c r="F28" s="60"/>
      <c r="G28" s="29"/>
      <c r="H28" s="29"/>
      <c r="I28" s="30"/>
      <c r="J28" s="41">
        <v>1530000</v>
      </c>
      <c r="K28" s="29"/>
      <c r="L28" s="82" t="s">
        <v>56</v>
      </c>
      <c r="M28" s="60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4.5">
      <c r="A29" s="29"/>
      <c r="B29" s="29"/>
      <c r="C29" s="29"/>
      <c r="D29" s="68" t="s">
        <v>57</v>
      </c>
      <c r="E29" s="60"/>
      <c r="F29" s="60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4.5">
      <c r="A30" s="29"/>
      <c r="B30" s="29"/>
      <c r="C30" s="29"/>
      <c r="D30" s="35" t="s">
        <v>58</v>
      </c>
      <c r="E30" s="68" t="s">
        <v>79</v>
      </c>
      <c r="F30" s="60"/>
      <c r="G30" s="42" t="s">
        <v>80</v>
      </c>
      <c r="H30" s="87">
        <v>170000</v>
      </c>
      <c r="I30" s="60"/>
      <c r="J30" s="41">
        <v>1530000</v>
      </c>
      <c r="K30" s="29"/>
      <c r="L30" s="83"/>
      <c r="M30" s="60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4.5">
      <c r="A31" s="70" t="s">
        <v>81</v>
      </c>
      <c r="B31" s="60"/>
      <c r="C31" s="60"/>
      <c r="D31" s="70" t="s">
        <v>82</v>
      </c>
      <c r="E31" s="60"/>
      <c r="F31" s="60"/>
      <c r="G31" s="29"/>
      <c r="H31" s="29"/>
      <c r="I31" s="30"/>
      <c r="J31" s="32">
        <v>12178000</v>
      </c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7.5">
      <c r="A32" s="71" t="s">
        <v>83</v>
      </c>
      <c r="B32" s="60"/>
      <c r="C32" s="60"/>
      <c r="D32" s="71" t="s">
        <v>42</v>
      </c>
      <c r="E32" s="60"/>
      <c r="F32" s="60"/>
      <c r="G32" s="33" t="s">
        <v>84</v>
      </c>
      <c r="H32" s="29"/>
      <c r="I32" s="30"/>
      <c r="J32" s="34">
        <v>12178000</v>
      </c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4.5">
      <c r="A33" s="29"/>
      <c r="B33" s="29"/>
      <c r="C33" s="29"/>
      <c r="D33" s="68" t="s">
        <v>44</v>
      </c>
      <c r="E33" s="60"/>
      <c r="F33" s="60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4.5">
      <c r="A34" s="69" t="s">
        <v>85</v>
      </c>
      <c r="B34" s="60"/>
      <c r="C34" s="60"/>
      <c r="D34" s="69" t="s">
        <v>86</v>
      </c>
      <c r="E34" s="60"/>
      <c r="F34" s="60"/>
      <c r="G34" s="36" t="s">
        <v>87</v>
      </c>
      <c r="H34" s="29"/>
      <c r="I34" s="30"/>
      <c r="J34" s="37">
        <v>12178000</v>
      </c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4.5">
      <c r="A35" s="69" t="s">
        <v>88</v>
      </c>
      <c r="B35" s="60"/>
      <c r="C35" s="60"/>
      <c r="D35" s="69" t="s">
        <v>89</v>
      </c>
      <c r="E35" s="60"/>
      <c r="F35" s="60"/>
      <c r="G35" s="38" t="s">
        <v>50</v>
      </c>
      <c r="H35" s="29"/>
      <c r="I35" s="30"/>
      <c r="J35" s="37">
        <v>5650000</v>
      </c>
      <c r="K35" s="39" t="s">
        <v>51</v>
      </c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4.5">
      <c r="A36" s="67" t="s">
        <v>52</v>
      </c>
      <c r="B36" s="60"/>
      <c r="C36" s="60"/>
      <c r="D36" s="67" t="s">
        <v>53</v>
      </c>
      <c r="E36" s="60"/>
      <c r="F36" s="60"/>
      <c r="G36" s="29"/>
      <c r="H36" s="29"/>
      <c r="I36" s="30"/>
      <c r="J36" s="40">
        <v>5650000</v>
      </c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4.5">
      <c r="A37" s="68" t="s">
        <v>90</v>
      </c>
      <c r="B37" s="60"/>
      <c r="C37" s="60"/>
      <c r="D37" s="72" t="s">
        <v>91</v>
      </c>
      <c r="E37" s="60"/>
      <c r="F37" s="60"/>
      <c r="G37" s="29"/>
      <c r="H37" s="29"/>
      <c r="I37" s="30"/>
      <c r="J37" s="41">
        <v>5140000</v>
      </c>
      <c r="K37" s="29"/>
      <c r="L37" s="82" t="s">
        <v>56</v>
      </c>
      <c r="M37" s="60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4.5">
      <c r="A38" s="29"/>
      <c r="B38" s="29"/>
      <c r="C38" s="29"/>
      <c r="D38" s="68" t="s">
        <v>57</v>
      </c>
      <c r="E38" s="60"/>
      <c r="F38" s="60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4.5">
      <c r="A39" s="29"/>
      <c r="B39" s="29"/>
      <c r="C39" s="29"/>
      <c r="D39" s="35" t="s">
        <v>58</v>
      </c>
      <c r="E39" s="68" t="s">
        <v>92</v>
      </c>
      <c r="F39" s="60"/>
      <c r="G39" s="42" t="s">
        <v>93</v>
      </c>
      <c r="H39" s="87">
        <v>91000</v>
      </c>
      <c r="I39" s="60"/>
      <c r="J39" s="41">
        <v>3640000</v>
      </c>
      <c r="K39" s="29"/>
      <c r="L39" s="83"/>
      <c r="M39" s="60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4.5">
      <c r="A40" s="29"/>
      <c r="B40" s="29"/>
      <c r="C40" s="29"/>
      <c r="D40" s="35" t="s">
        <v>58</v>
      </c>
      <c r="E40" s="68" t="s">
        <v>94</v>
      </c>
      <c r="F40" s="60"/>
      <c r="G40" s="42" t="s">
        <v>95</v>
      </c>
      <c r="H40" s="87">
        <v>75000</v>
      </c>
      <c r="I40" s="60"/>
      <c r="J40" s="41">
        <v>1500000</v>
      </c>
      <c r="K40" s="29"/>
      <c r="L40" s="83"/>
      <c r="M40" s="60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4.5">
      <c r="A41" s="68" t="s">
        <v>54</v>
      </c>
      <c r="B41" s="60"/>
      <c r="C41" s="60"/>
      <c r="D41" s="72" t="s">
        <v>55</v>
      </c>
      <c r="E41" s="60"/>
      <c r="F41" s="60"/>
      <c r="G41" s="29"/>
      <c r="H41" s="29"/>
      <c r="I41" s="30"/>
      <c r="J41" s="41">
        <v>510000</v>
      </c>
      <c r="K41" s="29"/>
      <c r="L41" s="82" t="s">
        <v>56</v>
      </c>
      <c r="M41" s="60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4.5">
      <c r="A42" s="29"/>
      <c r="B42" s="29"/>
      <c r="C42" s="29"/>
      <c r="D42" s="68" t="s">
        <v>57</v>
      </c>
      <c r="E42" s="60"/>
      <c r="F42" s="60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4.5">
      <c r="A43" s="29"/>
      <c r="B43" s="29"/>
      <c r="C43" s="29"/>
      <c r="D43" s="35" t="s">
        <v>58</v>
      </c>
      <c r="E43" s="68" t="s">
        <v>96</v>
      </c>
      <c r="F43" s="60"/>
      <c r="G43" s="42" t="s">
        <v>97</v>
      </c>
      <c r="H43" s="87">
        <v>170000</v>
      </c>
      <c r="I43" s="60"/>
      <c r="J43" s="41">
        <v>340000</v>
      </c>
      <c r="K43" s="29"/>
      <c r="L43" s="83"/>
      <c r="M43" s="60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4.5">
      <c r="A44" s="29"/>
      <c r="B44" s="29"/>
      <c r="C44" s="29"/>
      <c r="D44" s="35" t="s">
        <v>58</v>
      </c>
      <c r="E44" s="68" t="s">
        <v>98</v>
      </c>
      <c r="F44" s="60"/>
      <c r="G44" s="42" t="s">
        <v>60</v>
      </c>
      <c r="H44" s="87">
        <v>170000</v>
      </c>
      <c r="I44" s="60"/>
      <c r="J44" s="41">
        <v>170000</v>
      </c>
      <c r="K44" s="29"/>
      <c r="L44" s="83"/>
      <c r="M44" s="60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14.5">
      <c r="A45" s="69" t="s">
        <v>99</v>
      </c>
      <c r="B45" s="60"/>
      <c r="C45" s="60"/>
      <c r="D45" s="69" t="s">
        <v>100</v>
      </c>
      <c r="E45" s="60"/>
      <c r="F45" s="60"/>
      <c r="G45" s="38" t="s">
        <v>50</v>
      </c>
      <c r="H45" s="29"/>
      <c r="I45" s="30"/>
      <c r="J45" s="37">
        <v>2808000</v>
      </c>
      <c r="K45" s="39" t="s">
        <v>51</v>
      </c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14.5">
      <c r="A46" s="67" t="s">
        <v>52</v>
      </c>
      <c r="B46" s="60"/>
      <c r="C46" s="60"/>
      <c r="D46" s="67" t="s">
        <v>53</v>
      </c>
      <c r="E46" s="60"/>
      <c r="F46" s="60"/>
      <c r="G46" s="29"/>
      <c r="H46" s="29"/>
      <c r="I46" s="30"/>
      <c r="J46" s="40">
        <v>2808000</v>
      </c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4.5">
      <c r="A47" s="68" t="s">
        <v>101</v>
      </c>
      <c r="B47" s="60"/>
      <c r="C47" s="60"/>
      <c r="D47" s="72" t="s">
        <v>102</v>
      </c>
      <c r="E47" s="60"/>
      <c r="F47" s="60"/>
      <c r="G47" s="29"/>
      <c r="H47" s="29"/>
      <c r="I47" s="30"/>
      <c r="J47" s="41">
        <v>664000</v>
      </c>
      <c r="K47" s="29"/>
      <c r="L47" s="82" t="s">
        <v>56</v>
      </c>
      <c r="M47" s="60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4.5">
      <c r="A48" s="29"/>
      <c r="B48" s="29"/>
      <c r="C48" s="29"/>
      <c r="D48" s="68" t="s">
        <v>57</v>
      </c>
      <c r="E48" s="60"/>
      <c r="F48" s="60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14.5">
      <c r="A49" s="29"/>
      <c r="B49" s="29"/>
      <c r="C49" s="29"/>
      <c r="D49" s="35" t="s">
        <v>58</v>
      </c>
      <c r="E49" s="68" t="s">
        <v>103</v>
      </c>
      <c r="F49" s="60"/>
      <c r="G49" s="42" t="s">
        <v>104</v>
      </c>
      <c r="H49" s="87">
        <v>83000</v>
      </c>
      <c r="I49" s="60"/>
      <c r="J49" s="41">
        <v>664000</v>
      </c>
      <c r="K49" s="29"/>
      <c r="L49" s="83"/>
      <c r="M49" s="60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14.5">
      <c r="A50" s="68" t="s">
        <v>90</v>
      </c>
      <c r="B50" s="60"/>
      <c r="C50" s="60"/>
      <c r="D50" s="72" t="s">
        <v>91</v>
      </c>
      <c r="E50" s="60"/>
      <c r="F50" s="60"/>
      <c r="G50" s="29"/>
      <c r="H50" s="29"/>
      <c r="I50" s="30"/>
      <c r="J50" s="41">
        <v>999000</v>
      </c>
      <c r="K50" s="29"/>
      <c r="L50" s="82" t="s">
        <v>56</v>
      </c>
      <c r="M50" s="60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14.5">
      <c r="A51" s="29"/>
      <c r="B51" s="29"/>
      <c r="C51" s="29"/>
      <c r="D51" s="68" t="s">
        <v>57</v>
      </c>
      <c r="E51" s="60"/>
      <c r="F51" s="60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14.5">
      <c r="A52" s="29"/>
      <c r="B52" s="29"/>
      <c r="C52" s="29"/>
      <c r="D52" s="35" t="s">
        <v>58</v>
      </c>
      <c r="E52" s="68" t="s">
        <v>105</v>
      </c>
      <c r="F52" s="60"/>
      <c r="G52" s="42" t="s">
        <v>106</v>
      </c>
      <c r="H52" s="87">
        <v>111000</v>
      </c>
      <c r="I52" s="60"/>
      <c r="J52" s="41">
        <v>999000</v>
      </c>
      <c r="K52" s="29"/>
      <c r="L52" s="83"/>
      <c r="M52" s="60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14.5">
      <c r="A53" s="68" t="s">
        <v>107</v>
      </c>
      <c r="B53" s="60"/>
      <c r="C53" s="60"/>
      <c r="D53" s="72" t="s">
        <v>108</v>
      </c>
      <c r="E53" s="60"/>
      <c r="F53" s="60"/>
      <c r="G53" s="29"/>
      <c r="H53" s="29"/>
      <c r="I53" s="30"/>
      <c r="J53" s="41">
        <v>125000</v>
      </c>
      <c r="K53" s="29"/>
      <c r="L53" s="82" t="s">
        <v>56</v>
      </c>
      <c r="M53" s="60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4.5">
      <c r="A54" s="29"/>
      <c r="B54" s="29"/>
      <c r="C54" s="29"/>
      <c r="D54" s="68" t="s">
        <v>57</v>
      </c>
      <c r="E54" s="60"/>
      <c r="F54" s="60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4.5">
      <c r="A55" s="29"/>
      <c r="B55" s="29"/>
      <c r="C55" s="29"/>
      <c r="D55" s="35" t="s">
        <v>58</v>
      </c>
      <c r="E55" s="68" t="s">
        <v>109</v>
      </c>
      <c r="F55" s="60"/>
      <c r="G55" s="42" t="s">
        <v>110</v>
      </c>
      <c r="H55" s="87">
        <v>125000</v>
      </c>
      <c r="I55" s="60"/>
      <c r="J55" s="41">
        <v>125000</v>
      </c>
      <c r="K55" s="29"/>
      <c r="L55" s="83"/>
      <c r="M55" s="60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14.5">
      <c r="A56" s="68" t="s">
        <v>54</v>
      </c>
      <c r="B56" s="60"/>
      <c r="C56" s="60"/>
      <c r="D56" s="72" t="s">
        <v>55</v>
      </c>
      <c r="E56" s="60"/>
      <c r="F56" s="60"/>
      <c r="G56" s="29"/>
      <c r="H56" s="29"/>
      <c r="I56" s="30"/>
      <c r="J56" s="41">
        <v>1020000</v>
      </c>
      <c r="K56" s="29"/>
      <c r="L56" s="82" t="s">
        <v>56</v>
      </c>
      <c r="M56" s="60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14.5">
      <c r="A57" s="29"/>
      <c r="B57" s="29"/>
      <c r="C57" s="29"/>
      <c r="D57" s="68" t="s">
        <v>57</v>
      </c>
      <c r="E57" s="60"/>
      <c r="F57" s="60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4.5">
      <c r="A58" s="29"/>
      <c r="B58" s="29"/>
      <c r="C58" s="29"/>
      <c r="D58" s="35" t="s">
        <v>58</v>
      </c>
      <c r="E58" s="68" t="s">
        <v>111</v>
      </c>
      <c r="F58" s="60"/>
      <c r="G58" s="42" t="s">
        <v>112</v>
      </c>
      <c r="H58" s="87">
        <v>170000</v>
      </c>
      <c r="I58" s="60"/>
      <c r="J58" s="41">
        <v>1020000</v>
      </c>
      <c r="K58" s="29"/>
      <c r="L58" s="83"/>
      <c r="M58" s="60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4.5">
      <c r="A59" s="69" t="s">
        <v>48</v>
      </c>
      <c r="B59" s="60"/>
      <c r="C59" s="60"/>
      <c r="D59" s="69" t="s">
        <v>49</v>
      </c>
      <c r="E59" s="60"/>
      <c r="F59" s="60"/>
      <c r="G59" s="38" t="s">
        <v>50</v>
      </c>
      <c r="H59" s="29"/>
      <c r="I59" s="30"/>
      <c r="J59" s="37">
        <v>3720000</v>
      </c>
      <c r="K59" s="39" t="s">
        <v>51</v>
      </c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4.5">
      <c r="A60" s="67" t="s">
        <v>52</v>
      </c>
      <c r="B60" s="60"/>
      <c r="C60" s="60"/>
      <c r="D60" s="67" t="s">
        <v>53</v>
      </c>
      <c r="E60" s="60"/>
      <c r="F60" s="60"/>
      <c r="G60" s="29"/>
      <c r="H60" s="29"/>
      <c r="I60" s="30"/>
      <c r="J60" s="40">
        <v>3720000</v>
      </c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4.5">
      <c r="A61" s="68" t="s">
        <v>101</v>
      </c>
      <c r="B61" s="60"/>
      <c r="C61" s="60"/>
      <c r="D61" s="72" t="s">
        <v>102</v>
      </c>
      <c r="E61" s="60"/>
      <c r="F61" s="60"/>
      <c r="G61" s="29"/>
      <c r="H61" s="29"/>
      <c r="I61" s="30"/>
      <c r="J61" s="41">
        <v>700000</v>
      </c>
      <c r="K61" s="29"/>
      <c r="L61" s="82" t="s">
        <v>56</v>
      </c>
      <c r="M61" s="60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4.5">
      <c r="A62" s="29"/>
      <c r="B62" s="29"/>
      <c r="C62" s="29"/>
      <c r="D62" s="68" t="s">
        <v>57</v>
      </c>
      <c r="E62" s="60"/>
      <c r="F62" s="60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4.5">
      <c r="A63" s="29"/>
      <c r="B63" s="29"/>
      <c r="C63" s="29"/>
      <c r="D63" s="35" t="s">
        <v>58</v>
      </c>
      <c r="E63" s="68" t="s">
        <v>113</v>
      </c>
      <c r="F63" s="60"/>
      <c r="G63" s="42" t="s">
        <v>114</v>
      </c>
      <c r="H63" s="87">
        <v>50000</v>
      </c>
      <c r="I63" s="60"/>
      <c r="J63" s="41">
        <v>300000</v>
      </c>
      <c r="K63" s="29"/>
      <c r="L63" s="83"/>
      <c r="M63" s="60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4.5">
      <c r="A64" s="29"/>
      <c r="B64" s="29"/>
      <c r="C64" s="29"/>
      <c r="D64" s="35" t="s">
        <v>58</v>
      </c>
      <c r="E64" s="68" t="s">
        <v>115</v>
      </c>
      <c r="F64" s="60"/>
      <c r="G64" s="42" t="s">
        <v>116</v>
      </c>
      <c r="H64" s="87">
        <v>50000</v>
      </c>
      <c r="I64" s="60"/>
      <c r="J64" s="41">
        <v>400000</v>
      </c>
      <c r="K64" s="29"/>
      <c r="L64" s="83"/>
      <c r="M64" s="60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4.5">
      <c r="A65" s="68" t="s">
        <v>54</v>
      </c>
      <c r="B65" s="60"/>
      <c r="C65" s="60"/>
      <c r="D65" s="72" t="s">
        <v>55</v>
      </c>
      <c r="E65" s="60"/>
      <c r="F65" s="60"/>
      <c r="G65" s="29"/>
      <c r="H65" s="29"/>
      <c r="I65" s="30"/>
      <c r="J65" s="41">
        <v>3020000</v>
      </c>
      <c r="K65" s="29"/>
      <c r="L65" s="82" t="s">
        <v>56</v>
      </c>
      <c r="M65" s="60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4.5">
      <c r="A66" s="29"/>
      <c r="B66" s="29"/>
      <c r="C66" s="29"/>
      <c r="D66" s="68" t="s">
        <v>57</v>
      </c>
      <c r="E66" s="60"/>
      <c r="F66" s="60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4.5">
      <c r="A67" s="29"/>
      <c r="B67" s="29"/>
      <c r="C67" s="29"/>
      <c r="D67" s="35" t="s">
        <v>58</v>
      </c>
      <c r="E67" s="68" t="s">
        <v>117</v>
      </c>
      <c r="F67" s="60"/>
      <c r="G67" s="42" t="s">
        <v>118</v>
      </c>
      <c r="H67" s="87">
        <v>150000</v>
      </c>
      <c r="I67" s="60"/>
      <c r="J67" s="41">
        <v>150000</v>
      </c>
      <c r="K67" s="29"/>
      <c r="L67" s="83"/>
      <c r="M67" s="60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4.5">
      <c r="A68" s="29"/>
      <c r="B68" s="29"/>
      <c r="C68" s="29"/>
      <c r="D68" s="35" t="s">
        <v>58</v>
      </c>
      <c r="E68" s="68" t="s">
        <v>119</v>
      </c>
      <c r="F68" s="60"/>
      <c r="G68" s="42" t="s">
        <v>118</v>
      </c>
      <c r="H68" s="87">
        <v>150000</v>
      </c>
      <c r="I68" s="60"/>
      <c r="J68" s="41">
        <v>150000</v>
      </c>
      <c r="K68" s="29"/>
      <c r="L68" s="83"/>
      <c r="M68" s="60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4.5">
      <c r="A69" s="29"/>
      <c r="B69" s="29"/>
      <c r="C69" s="29"/>
      <c r="D69" s="35" t="s">
        <v>58</v>
      </c>
      <c r="E69" s="68" t="s">
        <v>59</v>
      </c>
      <c r="F69" s="60"/>
      <c r="G69" s="42" t="s">
        <v>120</v>
      </c>
      <c r="H69" s="87">
        <v>170000</v>
      </c>
      <c r="I69" s="60"/>
      <c r="J69" s="41">
        <v>2720000</v>
      </c>
      <c r="K69" s="29"/>
      <c r="L69" s="83"/>
      <c r="M69" s="60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4.5">
      <c r="A70" s="70" t="s">
        <v>121</v>
      </c>
      <c r="B70" s="60"/>
      <c r="C70" s="60"/>
      <c r="D70" s="70" t="s">
        <v>122</v>
      </c>
      <c r="E70" s="60"/>
      <c r="F70" s="60"/>
      <c r="G70" s="29"/>
      <c r="H70" s="29"/>
      <c r="I70" s="30"/>
      <c r="J70" s="32">
        <v>15722000</v>
      </c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7.5">
      <c r="A71" s="71" t="s">
        <v>123</v>
      </c>
      <c r="B71" s="60"/>
      <c r="C71" s="60"/>
      <c r="D71" s="71" t="s">
        <v>42</v>
      </c>
      <c r="E71" s="60"/>
      <c r="F71" s="60"/>
      <c r="G71" s="33" t="s">
        <v>124</v>
      </c>
      <c r="H71" s="29"/>
      <c r="I71" s="30"/>
      <c r="J71" s="34">
        <v>15722000</v>
      </c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4.5">
      <c r="A72" s="29"/>
      <c r="B72" s="29"/>
      <c r="C72" s="29"/>
      <c r="D72" s="68" t="s">
        <v>44</v>
      </c>
      <c r="E72" s="60"/>
      <c r="F72" s="60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4.5">
      <c r="A73" s="69" t="s">
        <v>125</v>
      </c>
      <c r="B73" s="60"/>
      <c r="C73" s="60"/>
      <c r="D73" s="69" t="s">
        <v>126</v>
      </c>
      <c r="E73" s="60"/>
      <c r="F73" s="60"/>
      <c r="G73" s="36" t="s">
        <v>127</v>
      </c>
      <c r="H73" s="29"/>
      <c r="I73" s="30"/>
      <c r="J73" s="37">
        <v>15722000</v>
      </c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4.5">
      <c r="A74" s="69" t="s">
        <v>88</v>
      </c>
      <c r="B74" s="60"/>
      <c r="C74" s="60"/>
      <c r="D74" s="69" t="s">
        <v>89</v>
      </c>
      <c r="E74" s="60"/>
      <c r="F74" s="60"/>
      <c r="G74" s="38" t="s">
        <v>50</v>
      </c>
      <c r="H74" s="29"/>
      <c r="I74" s="30"/>
      <c r="J74" s="37">
        <v>8840000</v>
      </c>
      <c r="K74" s="39" t="s">
        <v>51</v>
      </c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4.5">
      <c r="A75" s="67" t="s">
        <v>52</v>
      </c>
      <c r="B75" s="60"/>
      <c r="C75" s="60"/>
      <c r="D75" s="67" t="s">
        <v>53</v>
      </c>
      <c r="E75" s="60"/>
      <c r="F75" s="60"/>
      <c r="G75" s="29"/>
      <c r="H75" s="29"/>
      <c r="I75" s="30"/>
      <c r="J75" s="40">
        <v>8840000</v>
      </c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4.5">
      <c r="A76" s="68" t="s">
        <v>90</v>
      </c>
      <c r="B76" s="60"/>
      <c r="C76" s="60"/>
      <c r="D76" s="72" t="s">
        <v>91</v>
      </c>
      <c r="E76" s="60"/>
      <c r="F76" s="60"/>
      <c r="G76" s="29"/>
      <c r="H76" s="29"/>
      <c r="I76" s="30"/>
      <c r="J76" s="41">
        <v>5440000</v>
      </c>
      <c r="K76" s="29"/>
      <c r="L76" s="82" t="s">
        <v>56</v>
      </c>
      <c r="M76" s="60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4.5">
      <c r="A77" s="29"/>
      <c r="B77" s="29"/>
      <c r="C77" s="29"/>
      <c r="D77" s="68" t="s">
        <v>57</v>
      </c>
      <c r="E77" s="60"/>
      <c r="F77" s="60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4.5">
      <c r="A78" s="29"/>
      <c r="B78" s="29"/>
      <c r="C78" s="29"/>
      <c r="D78" s="35" t="s">
        <v>58</v>
      </c>
      <c r="E78" s="68" t="s">
        <v>128</v>
      </c>
      <c r="F78" s="60"/>
      <c r="G78" s="42" t="s">
        <v>93</v>
      </c>
      <c r="H78" s="87">
        <v>66000</v>
      </c>
      <c r="I78" s="60"/>
      <c r="J78" s="41">
        <v>2640000</v>
      </c>
      <c r="K78" s="29"/>
      <c r="L78" s="83"/>
      <c r="M78" s="60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4.5">
      <c r="A79" s="29"/>
      <c r="B79" s="29"/>
      <c r="C79" s="29"/>
      <c r="D79" s="35" t="s">
        <v>58</v>
      </c>
      <c r="E79" s="68" t="s">
        <v>129</v>
      </c>
      <c r="F79" s="60"/>
      <c r="G79" s="42" t="s">
        <v>130</v>
      </c>
      <c r="H79" s="87">
        <v>66000</v>
      </c>
      <c r="I79" s="60"/>
      <c r="J79" s="41">
        <v>1848000</v>
      </c>
      <c r="K79" s="29"/>
      <c r="L79" s="83"/>
      <c r="M79" s="60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4.5">
      <c r="A80" s="29"/>
      <c r="B80" s="29"/>
      <c r="C80" s="29"/>
      <c r="D80" s="35" t="s">
        <v>58</v>
      </c>
      <c r="E80" s="68" t="s">
        <v>131</v>
      </c>
      <c r="F80" s="60"/>
      <c r="G80" s="42" t="s">
        <v>130</v>
      </c>
      <c r="H80" s="87">
        <v>14000</v>
      </c>
      <c r="I80" s="60"/>
      <c r="J80" s="41">
        <v>392000</v>
      </c>
      <c r="K80" s="29"/>
      <c r="L80" s="83"/>
      <c r="M80" s="60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4.5">
      <c r="A81" s="29"/>
      <c r="B81" s="29"/>
      <c r="C81" s="29"/>
      <c r="D81" s="35" t="s">
        <v>58</v>
      </c>
      <c r="E81" s="68" t="s">
        <v>132</v>
      </c>
      <c r="F81" s="60"/>
      <c r="G81" s="42" t="s">
        <v>93</v>
      </c>
      <c r="H81" s="87">
        <v>14000</v>
      </c>
      <c r="I81" s="60"/>
      <c r="J81" s="41">
        <v>560000</v>
      </c>
      <c r="K81" s="29"/>
      <c r="L81" s="83"/>
      <c r="M81" s="60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4.5">
      <c r="A82" s="68" t="s">
        <v>54</v>
      </c>
      <c r="B82" s="60"/>
      <c r="C82" s="60"/>
      <c r="D82" s="72" t="s">
        <v>55</v>
      </c>
      <c r="E82" s="60"/>
      <c r="F82" s="60"/>
      <c r="G82" s="29"/>
      <c r="H82" s="29"/>
      <c r="I82" s="30"/>
      <c r="J82" s="41">
        <v>3400000</v>
      </c>
      <c r="K82" s="29"/>
      <c r="L82" s="82" t="s">
        <v>56</v>
      </c>
      <c r="M82" s="60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4.5">
      <c r="A83" s="29"/>
      <c r="B83" s="29"/>
      <c r="C83" s="29"/>
      <c r="D83" s="68" t="s">
        <v>57</v>
      </c>
      <c r="E83" s="60"/>
      <c r="F83" s="60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4.5">
      <c r="A84" s="29"/>
      <c r="B84" s="29"/>
      <c r="C84" s="29"/>
      <c r="D84" s="35" t="s">
        <v>58</v>
      </c>
      <c r="E84" s="68" t="s">
        <v>133</v>
      </c>
      <c r="F84" s="60"/>
      <c r="G84" s="42" t="s">
        <v>134</v>
      </c>
      <c r="H84" s="87">
        <v>170000</v>
      </c>
      <c r="I84" s="60"/>
      <c r="J84" s="41">
        <v>850000</v>
      </c>
      <c r="K84" s="29"/>
      <c r="L84" s="83"/>
      <c r="M84" s="60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4.5">
      <c r="A85" s="29"/>
      <c r="B85" s="29"/>
      <c r="C85" s="29"/>
      <c r="D85" s="35" t="s">
        <v>58</v>
      </c>
      <c r="E85" s="68" t="s">
        <v>135</v>
      </c>
      <c r="F85" s="60"/>
      <c r="G85" s="42" t="s">
        <v>134</v>
      </c>
      <c r="H85" s="87">
        <v>170000</v>
      </c>
      <c r="I85" s="60"/>
      <c r="J85" s="41">
        <v>850000</v>
      </c>
      <c r="K85" s="29"/>
      <c r="L85" s="83"/>
      <c r="M85" s="60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4.5">
      <c r="A86" s="29"/>
      <c r="B86" s="29"/>
      <c r="C86" s="29"/>
      <c r="D86" s="35" t="s">
        <v>58</v>
      </c>
      <c r="E86" s="68" t="s">
        <v>136</v>
      </c>
      <c r="F86" s="60"/>
      <c r="G86" s="42" t="s">
        <v>137</v>
      </c>
      <c r="H86" s="87">
        <v>170000</v>
      </c>
      <c r="I86" s="60"/>
      <c r="J86" s="41">
        <v>1190000</v>
      </c>
      <c r="K86" s="29"/>
      <c r="L86" s="83"/>
      <c r="M86" s="60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4.5">
      <c r="A87" s="29"/>
      <c r="B87" s="29"/>
      <c r="C87" s="29"/>
      <c r="D87" s="35" t="s">
        <v>58</v>
      </c>
      <c r="E87" s="68" t="s">
        <v>138</v>
      </c>
      <c r="F87" s="60"/>
      <c r="G87" s="42" t="s">
        <v>97</v>
      </c>
      <c r="H87" s="87">
        <v>170000</v>
      </c>
      <c r="I87" s="60"/>
      <c r="J87" s="41">
        <v>340000</v>
      </c>
      <c r="K87" s="29"/>
      <c r="L87" s="83"/>
      <c r="M87" s="60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4.5">
      <c r="A88" s="29"/>
      <c r="B88" s="29"/>
      <c r="C88" s="29"/>
      <c r="D88" s="35" t="s">
        <v>58</v>
      </c>
      <c r="E88" s="68" t="s">
        <v>139</v>
      </c>
      <c r="F88" s="60"/>
      <c r="G88" s="42" t="s">
        <v>60</v>
      </c>
      <c r="H88" s="87">
        <v>170000</v>
      </c>
      <c r="I88" s="60"/>
      <c r="J88" s="41">
        <v>170000</v>
      </c>
      <c r="K88" s="29"/>
      <c r="L88" s="83"/>
      <c r="M88" s="60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4.5">
      <c r="A89" s="69" t="s">
        <v>99</v>
      </c>
      <c r="B89" s="60"/>
      <c r="C89" s="60"/>
      <c r="D89" s="69" t="s">
        <v>100</v>
      </c>
      <c r="E89" s="60"/>
      <c r="F89" s="60"/>
      <c r="G89" s="38" t="s">
        <v>50</v>
      </c>
      <c r="H89" s="29"/>
      <c r="I89" s="30"/>
      <c r="J89" s="37">
        <v>6482000</v>
      </c>
      <c r="K89" s="39" t="s">
        <v>51</v>
      </c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4.5">
      <c r="A90" s="67" t="s">
        <v>52</v>
      </c>
      <c r="B90" s="60"/>
      <c r="C90" s="60"/>
      <c r="D90" s="67" t="s">
        <v>53</v>
      </c>
      <c r="E90" s="60"/>
      <c r="F90" s="60"/>
      <c r="G90" s="29"/>
      <c r="H90" s="29"/>
      <c r="I90" s="30"/>
      <c r="J90" s="40">
        <v>6482000</v>
      </c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4.5">
      <c r="A91" s="68" t="s">
        <v>101</v>
      </c>
      <c r="B91" s="60"/>
      <c r="C91" s="60"/>
      <c r="D91" s="72" t="s">
        <v>102</v>
      </c>
      <c r="E91" s="60"/>
      <c r="F91" s="60"/>
      <c r="G91" s="29"/>
      <c r="H91" s="29"/>
      <c r="I91" s="30"/>
      <c r="J91" s="41">
        <v>800000</v>
      </c>
      <c r="K91" s="29"/>
      <c r="L91" s="82" t="s">
        <v>56</v>
      </c>
      <c r="M91" s="60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4.5">
      <c r="A92" s="29"/>
      <c r="B92" s="29"/>
      <c r="C92" s="29"/>
      <c r="D92" s="68" t="s">
        <v>57</v>
      </c>
      <c r="E92" s="60"/>
      <c r="F92" s="60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4.5">
      <c r="A93" s="29"/>
      <c r="B93" s="29"/>
      <c r="C93" s="29"/>
      <c r="D93" s="35" t="s">
        <v>58</v>
      </c>
      <c r="E93" s="68" t="s">
        <v>140</v>
      </c>
      <c r="F93" s="60"/>
      <c r="G93" s="42" t="s">
        <v>116</v>
      </c>
      <c r="H93" s="87">
        <v>50000</v>
      </c>
      <c r="I93" s="60"/>
      <c r="J93" s="41">
        <v>400000</v>
      </c>
      <c r="K93" s="29"/>
      <c r="L93" s="83"/>
      <c r="M93" s="60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4.5">
      <c r="A94" s="29"/>
      <c r="B94" s="29"/>
      <c r="C94" s="29"/>
      <c r="D94" s="35" t="s">
        <v>58</v>
      </c>
      <c r="E94" s="68" t="s">
        <v>141</v>
      </c>
      <c r="F94" s="60"/>
      <c r="G94" s="42" t="s">
        <v>142</v>
      </c>
      <c r="H94" s="87">
        <v>50000</v>
      </c>
      <c r="I94" s="60"/>
      <c r="J94" s="41">
        <v>400000</v>
      </c>
      <c r="K94" s="29"/>
      <c r="L94" s="83"/>
      <c r="M94" s="6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4.5">
      <c r="A95" s="68" t="s">
        <v>90</v>
      </c>
      <c r="B95" s="60"/>
      <c r="C95" s="60"/>
      <c r="D95" s="72" t="s">
        <v>91</v>
      </c>
      <c r="E95" s="60"/>
      <c r="F95" s="60"/>
      <c r="G95" s="29"/>
      <c r="H95" s="29"/>
      <c r="I95" s="30"/>
      <c r="J95" s="41">
        <v>1998000</v>
      </c>
      <c r="K95" s="29"/>
      <c r="L95" s="82" t="s">
        <v>56</v>
      </c>
      <c r="M95" s="60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4.5">
      <c r="A96" s="29"/>
      <c r="B96" s="29"/>
      <c r="C96" s="29"/>
      <c r="D96" s="68" t="s">
        <v>57</v>
      </c>
      <c r="E96" s="60"/>
      <c r="F96" s="60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4.5">
      <c r="A97" s="29"/>
      <c r="B97" s="29"/>
      <c r="C97" s="29"/>
      <c r="D97" s="35" t="s">
        <v>58</v>
      </c>
      <c r="E97" s="68" t="s">
        <v>143</v>
      </c>
      <c r="F97" s="60"/>
      <c r="G97" s="42" t="s">
        <v>144</v>
      </c>
      <c r="H97" s="87">
        <v>111000</v>
      </c>
      <c r="I97" s="60"/>
      <c r="J97" s="41">
        <v>1998000</v>
      </c>
      <c r="K97" s="29"/>
      <c r="L97" s="83"/>
      <c r="M97" s="60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4.5">
      <c r="A98" s="68" t="s">
        <v>107</v>
      </c>
      <c r="B98" s="60"/>
      <c r="C98" s="60"/>
      <c r="D98" s="72" t="s">
        <v>108</v>
      </c>
      <c r="E98" s="60"/>
      <c r="F98" s="60"/>
      <c r="G98" s="29"/>
      <c r="H98" s="29"/>
      <c r="I98" s="30"/>
      <c r="J98" s="41">
        <v>454000</v>
      </c>
      <c r="K98" s="29"/>
      <c r="L98" s="82" t="s">
        <v>56</v>
      </c>
      <c r="M98" s="60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4.5">
      <c r="A99" s="29"/>
      <c r="B99" s="29"/>
      <c r="C99" s="29"/>
      <c r="D99" s="68" t="s">
        <v>57</v>
      </c>
      <c r="E99" s="60"/>
      <c r="F99" s="60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4.5">
      <c r="A100" s="29"/>
      <c r="B100" s="29"/>
      <c r="C100" s="29"/>
      <c r="D100" s="35" t="s">
        <v>58</v>
      </c>
      <c r="E100" s="68" t="s">
        <v>145</v>
      </c>
      <c r="F100" s="60"/>
      <c r="G100" s="42" t="s">
        <v>110</v>
      </c>
      <c r="H100" s="87">
        <v>125000</v>
      </c>
      <c r="I100" s="60"/>
      <c r="J100" s="41">
        <v>125000</v>
      </c>
      <c r="K100" s="29"/>
      <c r="L100" s="83"/>
      <c r="M100" s="60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4.5">
      <c r="A101" s="29"/>
      <c r="B101" s="29"/>
      <c r="C101" s="29"/>
      <c r="D101" s="35" t="s">
        <v>58</v>
      </c>
      <c r="E101" s="68" t="s">
        <v>146</v>
      </c>
      <c r="F101" s="60"/>
      <c r="G101" s="42" t="s">
        <v>110</v>
      </c>
      <c r="H101" s="87">
        <v>125000</v>
      </c>
      <c r="I101" s="60"/>
      <c r="J101" s="41">
        <v>125000</v>
      </c>
      <c r="K101" s="29"/>
      <c r="L101" s="83"/>
      <c r="M101" s="60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4.5">
      <c r="A102" s="29"/>
      <c r="B102" s="29"/>
      <c r="C102" s="29"/>
      <c r="D102" s="35" t="s">
        <v>58</v>
      </c>
      <c r="E102" s="68" t="s">
        <v>147</v>
      </c>
      <c r="F102" s="60"/>
      <c r="G102" s="42" t="s">
        <v>148</v>
      </c>
      <c r="H102" s="87">
        <v>600</v>
      </c>
      <c r="I102" s="60"/>
      <c r="J102" s="41">
        <v>204000</v>
      </c>
      <c r="K102" s="29"/>
      <c r="L102" s="83"/>
      <c r="M102" s="60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4.5">
      <c r="A103" s="68" t="s">
        <v>75</v>
      </c>
      <c r="B103" s="60"/>
      <c r="C103" s="60"/>
      <c r="D103" s="72" t="s">
        <v>76</v>
      </c>
      <c r="E103" s="60"/>
      <c r="F103" s="60"/>
      <c r="G103" s="29"/>
      <c r="H103" s="29"/>
      <c r="I103" s="30"/>
      <c r="J103" s="41">
        <v>900000</v>
      </c>
      <c r="K103" s="29"/>
      <c r="L103" s="82" t="s">
        <v>56</v>
      </c>
      <c r="M103" s="60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4.5">
      <c r="A104" s="29"/>
      <c r="B104" s="29"/>
      <c r="C104" s="29"/>
      <c r="D104" s="68" t="s">
        <v>57</v>
      </c>
      <c r="E104" s="60"/>
      <c r="F104" s="60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4.5">
      <c r="A105" s="29"/>
      <c r="B105" s="29"/>
      <c r="C105" s="29"/>
      <c r="D105" s="35" t="s">
        <v>58</v>
      </c>
      <c r="E105" s="68" t="s">
        <v>149</v>
      </c>
      <c r="F105" s="60"/>
      <c r="G105" s="42" t="s">
        <v>78</v>
      </c>
      <c r="H105" s="87">
        <v>900000</v>
      </c>
      <c r="I105" s="60"/>
      <c r="J105" s="41">
        <v>900000</v>
      </c>
      <c r="K105" s="29"/>
      <c r="L105" s="83"/>
      <c r="M105" s="60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4.5">
      <c r="A106" s="68" t="s">
        <v>150</v>
      </c>
      <c r="B106" s="60"/>
      <c r="C106" s="60"/>
      <c r="D106" s="72" t="s">
        <v>151</v>
      </c>
      <c r="E106" s="60"/>
      <c r="F106" s="60"/>
      <c r="G106" s="29"/>
      <c r="H106" s="29"/>
      <c r="I106" s="30"/>
      <c r="J106" s="41">
        <v>2330000</v>
      </c>
      <c r="K106" s="29"/>
      <c r="L106" s="82" t="s">
        <v>56</v>
      </c>
      <c r="M106" s="60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4.5">
      <c r="A107" s="29"/>
      <c r="B107" s="29"/>
      <c r="C107" s="29"/>
      <c r="D107" s="68" t="s">
        <v>57</v>
      </c>
      <c r="E107" s="60"/>
      <c r="F107" s="60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4.5">
      <c r="A108" s="29"/>
      <c r="B108" s="29"/>
      <c r="C108" s="29"/>
      <c r="D108" s="35" t="s">
        <v>58</v>
      </c>
      <c r="E108" s="68" t="s">
        <v>152</v>
      </c>
      <c r="F108" s="60"/>
      <c r="G108" s="42" t="s">
        <v>153</v>
      </c>
      <c r="H108" s="87">
        <v>83000</v>
      </c>
      <c r="I108" s="60"/>
      <c r="J108" s="41">
        <v>830000</v>
      </c>
      <c r="K108" s="29"/>
      <c r="L108" s="83"/>
      <c r="M108" s="60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4.5">
      <c r="A109" s="29"/>
      <c r="B109" s="29"/>
      <c r="C109" s="29"/>
      <c r="D109" s="35" t="s">
        <v>58</v>
      </c>
      <c r="E109" s="68" t="s">
        <v>154</v>
      </c>
      <c r="F109" s="60"/>
      <c r="G109" s="42" t="s">
        <v>153</v>
      </c>
      <c r="H109" s="87">
        <v>150000</v>
      </c>
      <c r="I109" s="60"/>
      <c r="J109" s="41">
        <v>1500000</v>
      </c>
      <c r="K109" s="29"/>
      <c r="L109" s="83"/>
      <c r="M109" s="60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4.5">
      <c r="A110" s="69" t="s">
        <v>48</v>
      </c>
      <c r="B110" s="60"/>
      <c r="C110" s="60"/>
      <c r="D110" s="69" t="s">
        <v>49</v>
      </c>
      <c r="E110" s="60"/>
      <c r="F110" s="60"/>
      <c r="G110" s="38" t="s">
        <v>50</v>
      </c>
      <c r="H110" s="29"/>
      <c r="I110" s="30"/>
      <c r="J110" s="37">
        <v>400000</v>
      </c>
      <c r="K110" s="39" t="s">
        <v>51</v>
      </c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4.5">
      <c r="A111" s="67" t="s">
        <v>52</v>
      </c>
      <c r="B111" s="60"/>
      <c r="C111" s="60"/>
      <c r="D111" s="67" t="s">
        <v>53</v>
      </c>
      <c r="E111" s="60"/>
      <c r="F111" s="60"/>
      <c r="G111" s="29"/>
      <c r="H111" s="29"/>
      <c r="I111" s="30"/>
      <c r="J111" s="40">
        <v>400000</v>
      </c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4.5">
      <c r="A112" s="68" t="s">
        <v>101</v>
      </c>
      <c r="B112" s="60"/>
      <c r="C112" s="60"/>
      <c r="D112" s="72" t="s">
        <v>102</v>
      </c>
      <c r="E112" s="60"/>
      <c r="F112" s="60"/>
      <c r="G112" s="29"/>
      <c r="H112" s="29"/>
      <c r="I112" s="30"/>
      <c r="J112" s="41">
        <v>200000</v>
      </c>
      <c r="K112" s="29"/>
      <c r="L112" s="82" t="s">
        <v>56</v>
      </c>
      <c r="M112" s="60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4.5">
      <c r="A113" s="29"/>
      <c r="B113" s="29"/>
      <c r="C113" s="29"/>
      <c r="D113" s="68" t="s">
        <v>57</v>
      </c>
      <c r="E113" s="60"/>
      <c r="F113" s="60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4.5">
      <c r="A114" s="29"/>
      <c r="B114" s="29"/>
      <c r="C114" s="29"/>
      <c r="D114" s="35" t="s">
        <v>58</v>
      </c>
      <c r="E114" s="68" t="s">
        <v>155</v>
      </c>
      <c r="F114" s="60"/>
      <c r="G114" s="42" t="s">
        <v>156</v>
      </c>
      <c r="H114" s="87">
        <v>50000</v>
      </c>
      <c r="I114" s="60"/>
      <c r="J114" s="41">
        <v>200000</v>
      </c>
      <c r="K114" s="29"/>
      <c r="L114" s="83"/>
      <c r="M114" s="60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4.5">
      <c r="A115" s="68" t="s">
        <v>54</v>
      </c>
      <c r="B115" s="60"/>
      <c r="C115" s="60"/>
      <c r="D115" s="72" t="s">
        <v>55</v>
      </c>
      <c r="E115" s="60"/>
      <c r="F115" s="60"/>
      <c r="G115" s="29"/>
      <c r="H115" s="29"/>
      <c r="I115" s="30"/>
      <c r="J115" s="41">
        <v>200000</v>
      </c>
      <c r="K115" s="29"/>
      <c r="L115" s="82" t="s">
        <v>56</v>
      </c>
      <c r="M115" s="60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4.5">
      <c r="A116" s="29"/>
      <c r="B116" s="29"/>
      <c r="C116" s="29"/>
      <c r="D116" s="68" t="s">
        <v>57</v>
      </c>
      <c r="E116" s="60"/>
      <c r="F116" s="60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4.5">
      <c r="A117" s="29"/>
      <c r="B117" s="29"/>
      <c r="C117" s="29"/>
      <c r="D117" s="35" t="s">
        <v>58</v>
      </c>
      <c r="E117" s="68" t="s">
        <v>157</v>
      </c>
      <c r="F117" s="60"/>
      <c r="G117" s="42" t="s">
        <v>118</v>
      </c>
      <c r="H117" s="87">
        <v>200000</v>
      </c>
      <c r="I117" s="60"/>
      <c r="J117" s="41">
        <v>200000</v>
      </c>
      <c r="K117" s="29"/>
      <c r="L117" s="83"/>
      <c r="M117" s="60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4.5">
      <c r="A118" s="70" t="s">
        <v>158</v>
      </c>
      <c r="B118" s="60"/>
      <c r="C118" s="60"/>
      <c r="D118" s="70" t="s">
        <v>159</v>
      </c>
      <c r="E118" s="60"/>
      <c r="F118" s="60"/>
      <c r="G118" s="29"/>
      <c r="H118" s="29"/>
      <c r="I118" s="30"/>
      <c r="J118" s="32">
        <v>960000</v>
      </c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7.5">
      <c r="A119" s="71" t="s">
        <v>160</v>
      </c>
      <c r="B119" s="60"/>
      <c r="C119" s="60"/>
      <c r="D119" s="71" t="s">
        <v>42</v>
      </c>
      <c r="E119" s="60"/>
      <c r="F119" s="60"/>
      <c r="G119" s="33" t="s">
        <v>43</v>
      </c>
      <c r="H119" s="29"/>
      <c r="I119" s="30"/>
      <c r="J119" s="34">
        <v>960000</v>
      </c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4.5">
      <c r="A120" s="29"/>
      <c r="B120" s="29"/>
      <c r="C120" s="29"/>
      <c r="D120" s="68" t="s">
        <v>44</v>
      </c>
      <c r="E120" s="60"/>
      <c r="F120" s="60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4.5">
      <c r="A121" s="69" t="s">
        <v>161</v>
      </c>
      <c r="B121" s="60"/>
      <c r="C121" s="60"/>
      <c r="D121" s="69" t="s">
        <v>162</v>
      </c>
      <c r="E121" s="60"/>
      <c r="F121" s="60"/>
      <c r="G121" s="36" t="s">
        <v>47</v>
      </c>
      <c r="H121" s="29"/>
      <c r="I121" s="30"/>
      <c r="J121" s="37">
        <v>960000</v>
      </c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4.5">
      <c r="A122" s="69" t="s">
        <v>88</v>
      </c>
      <c r="B122" s="60"/>
      <c r="C122" s="60"/>
      <c r="D122" s="69" t="s">
        <v>89</v>
      </c>
      <c r="E122" s="60"/>
      <c r="F122" s="60"/>
      <c r="G122" s="38" t="s">
        <v>50</v>
      </c>
      <c r="H122" s="29"/>
      <c r="I122" s="30"/>
      <c r="J122" s="37">
        <v>510000</v>
      </c>
      <c r="K122" s="39" t="s">
        <v>51</v>
      </c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4.5">
      <c r="A123" s="67" t="s">
        <v>52</v>
      </c>
      <c r="B123" s="60"/>
      <c r="C123" s="60"/>
      <c r="D123" s="67" t="s">
        <v>53</v>
      </c>
      <c r="E123" s="60"/>
      <c r="F123" s="60"/>
      <c r="G123" s="29"/>
      <c r="H123" s="29"/>
      <c r="I123" s="30"/>
      <c r="J123" s="40">
        <v>510000</v>
      </c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4.5">
      <c r="A124" s="68" t="s">
        <v>54</v>
      </c>
      <c r="B124" s="60"/>
      <c r="C124" s="60"/>
      <c r="D124" s="72" t="s">
        <v>55</v>
      </c>
      <c r="E124" s="60"/>
      <c r="F124" s="60"/>
      <c r="G124" s="29"/>
      <c r="H124" s="29"/>
      <c r="I124" s="30"/>
      <c r="J124" s="41">
        <v>510000</v>
      </c>
      <c r="K124" s="29"/>
      <c r="L124" s="82" t="s">
        <v>56</v>
      </c>
      <c r="M124" s="60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4.5">
      <c r="A125" s="29"/>
      <c r="B125" s="29"/>
      <c r="C125" s="29"/>
      <c r="D125" s="68" t="s">
        <v>57</v>
      </c>
      <c r="E125" s="60"/>
      <c r="F125" s="60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4.5">
      <c r="A126" s="29"/>
      <c r="B126" s="29"/>
      <c r="C126" s="29"/>
      <c r="D126" s="35" t="s">
        <v>58</v>
      </c>
      <c r="E126" s="68" t="s">
        <v>163</v>
      </c>
      <c r="F126" s="60"/>
      <c r="G126" s="42" t="s">
        <v>69</v>
      </c>
      <c r="H126" s="87">
        <v>170000</v>
      </c>
      <c r="I126" s="60"/>
      <c r="J126" s="41">
        <v>510000</v>
      </c>
      <c r="K126" s="29"/>
      <c r="L126" s="83"/>
      <c r="M126" s="60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4.5">
      <c r="A127" s="69" t="s">
        <v>99</v>
      </c>
      <c r="B127" s="60"/>
      <c r="C127" s="60"/>
      <c r="D127" s="69" t="s">
        <v>100</v>
      </c>
      <c r="E127" s="60"/>
      <c r="F127" s="60"/>
      <c r="G127" s="38" t="s">
        <v>50</v>
      </c>
      <c r="H127" s="29"/>
      <c r="I127" s="30"/>
      <c r="J127" s="37">
        <v>250000</v>
      </c>
      <c r="K127" s="39" t="s">
        <v>51</v>
      </c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4.5">
      <c r="A128" s="67" t="s">
        <v>52</v>
      </c>
      <c r="B128" s="60"/>
      <c r="C128" s="60"/>
      <c r="D128" s="67" t="s">
        <v>53</v>
      </c>
      <c r="E128" s="60"/>
      <c r="F128" s="60"/>
      <c r="G128" s="29"/>
      <c r="H128" s="29"/>
      <c r="I128" s="30"/>
      <c r="J128" s="40">
        <v>250000</v>
      </c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4.5">
      <c r="A129" s="68" t="s">
        <v>107</v>
      </c>
      <c r="B129" s="60"/>
      <c r="C129" s="60"/>
      <c r="D129" s="72" t="s">
        <v>108</v>
      </c>
      <c r="E129" s="60"/>
      <c r="F129" s="60"/>
      <c r="G129" s="29"/>
      <c r="H129" s="29"/>
      <c r="I129" s="30"/>
      <c r="J129" s="41">
        <v>250000</v>
      </c>
      <c r="K129" s="29"/>
      <c r="L129" s="82" t="s">
        <v>56</v>
      </c>
      <c r="M129" s="60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4.5">
      <c r="A130" s="29"/>
      <c r="B130" s="29"/>
      <c r="C130" s="29"/>
      <c r="D130" s="68" t="s">
        <v>57</v>
      </c>
      <c r="E130" s="60"/>
      <c r="F130" s="60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4.5">
      <c r="A131" s="29"/>
      <c r="B131" s="29"/>
      <c r="C131" s="29"/>
      <c r="D131" s="35" t="s">
        <v>58</v>
      </c>
      <c r="E131" s="68" t="s">
        <v>164</v>
      </c>
      <c r="F131" s="60"/>
      <c r="G131" s="42" t="s">
        <v>165</v>
      </c>
      <c r="H131" s="87">
        <v>125000</v>
      </c>
      <c r="I131" s="60"/>
      <c r="J131" s="41">
        <v>125000</v>
      </c>
      <c r="K131" s="29"/>
      <c r="L131" s="83"/>
      <c r="M131" s="60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4.5">
      <c r="A132" s="29"/>
      <c r="B132" s="29"/>
      <c r="C132" s="29"/>
      <c r="D132" s="35" t="s">
        <v>58</v>
      </c>
      <c r="E132" s="68" t="s">
        <v>166</v>
      </c>
      <c r="F132" s="60"/>
      <c r="G132" s="42" t="s">
        <v>110</v>
      </c>
      <c r="H132" s="87">
        <v>125000</v>
      </c>
      <c r="I132" s="60"/>
      <c r="J132" s="41">
        <v>125000</v>
      </c>
      <c r="K132" s="29"/>
      <c r="L132" s="83"/>
      <c r="M132" s="60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4.5">
      <c r="A133" s="69" t="s">
        <v>48</v>
      </c>
      <c r="B133" s="60"/>
      <c r="C133" s="60"/>
      <c r="D133" s="69" t="s">
        <v>49</v>
      </c>
      <c r="E133" s="60"/>
      <c r="F133" s="60"/>
      <c r="G133" s="38" t="s">
        <v>50</v>
      </c>
      <c r="H133" s="29"/>
      <c r="I133" s="30"/>
      <c r="J133" s="37">
        <v>200000</v>
      </c>
      <c r="K133" s="39" t="s">
        <v>51</v>
      </c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4.5">
      <c r="A134" s="67" t="s">
        <v>52</v>
      </c>
      <c r="B134" s="60"/>
      <c r="C134" s="60"/>
      <c r="D134" s="67" t="s">
        <v>53</v>
      </c>
      <c r="E134" s="60"/>
      <c r="F134" s="60"/>
      <c r="G134" s="29"/>
      <c r="H134" s="29"/>
      <c r="I134" s="30"/>
      <c r="J134" s="40">
        <v>200000</v>
      </c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4.5">
      <c r="A135" s="68" t="s">
        <v>54</v>
      </c>
      <c r="B135" s="60"/>
      <c r="C135" s="60"/>
      <c r="D135" s="72" t="s">
        <v>55</v>
      </c>
      <c r="E135" s="60"/>
      <c r="F135" s="60"/>
      <c r="G135" s="29"/>
      <c r="H135" s="29"/>
      <c r="I135" s="30"/>
      <c r="J135" s="41">
        <v>200000</v>
      </c>
      <c r="K135" s="29"/>
      <c r="L135" s="82" t="s">
        <v>56</v>
      </c>
      <c r="M135" s="60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4.5">
      <c r="A136" s="29"/>
      <c r="B136" s="29"/>
      <c r="C136" s="29"/>
      <c r="D136" s="68" t="s">
        <v>57</v>
      </c>
      <c r="E136" s="60"/>
      <c r="F136" s="60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4.5">
      <c r="A137" s="29"/>
      <c r="B137" s="29"/>
      <c r="C137" s="29"/>
      <c r="D137" s="35" t="s">
        <v>58</v>
      </c>
      <c r="E137" s="68" t="s">
        <v>167</v>
      </c>
      <c r="F137" s="60"/>
      <c r="G137" s="42" t="s">
        <v>118</v>
      </c>
      <c r="H137" s="87">
        <v>200000</v>
      </c>
      <c r="I137" s="60"/>
      <c r="J137" s="41">
        <v>200000</v>
      </c>
      <c r="K137" s="29"/>
      <c r="L137" s="83"/>
      <c r="M137" s="60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4.5">
      <c r="A138" s="70" t="s">
        <v>168</v>
      </c>
      <c r="B138" s="60"/>
      <c r="C138" s="60"/>
      <c r="D138" s="70" t="s">
        <v>169</v>
      </c>
      <c r="E138" s="60"/>
      <c r="F138" s="60"/>
      <c r="G138" s="29"/>
      <c r="H138" s="29"/>
      <c r="I138" s="30"/>
      <c r="J138" s="32">
        <v>7945000</v>
      </c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4.5">
      <c r="A139" s="71" t="s">
        <v>170</v>
      </c>
      <c r="B139" s="60"/>
      <c r="C139" s="60"/>
      <c r="D139" s="71" t="s">
        <v>171</v>
      </c>
      <c r="E139" s="60"/>
      <c r="F139" s="60"/>
      <c r="G139" s="33" t="s">
        <v>172</v>
      </c>
      <c r="H139" s="29"/>
      <c r="I139" s="30"/>
      <c r="J139" s="34">
        <v>7945000</v>
      </c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4.5">
      <c r="A140" s="29"/>
      <c r="B140" s="29"/>
      <c r="C140" s="29"/>
      <c r="D140" s="68" t="s">
        <v>44</v>
      </c>
      <c r="E140" s="60"/>
      <c r="F140" s="60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4.5">
      <c r="A141" s="69" t="s">
        <v>173</v>
      </c>
      <c r="B141" s="60"/>
      <c r="C141" s="60"/>
      <c r="D141" s="69" t="s">
        <v>174</v>
      </c>
      <c r="E141" s="60"/>
      <c r="F141" s="60"/>
      <c r="G141" s="36" t="s">
        <v>172</v>
      </c>
      <c r="H141" s="29"/>
      <c r="I141" s="30"/>
      <c r="J141" s="37">
        <v>7945000</v>
      </c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4.5">
      <c r="A142" s="69" t="s">
        <v>175</v>
      </c>
      <c r="B142" s="60"/>
      <c r="C142" s="60"/>
      <c r="D142" s="69" t="s">
        <v>174</v>
      </c>
      <c r="E142" s="60"/>
      <c r="F142" s="60"/>
      <c r="G142" s="38" t="s">
        <v>50</v>
      </c>
      <c r="H142" s="29"/>
      <c r="I142" s="30"/>
      <c r="J142" s="37">
        <v>7945000</v>
      </c>
      <c r="K142" s="39" t="s">
        <v>51</v>
      </c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4.5">
      <c r="A143" s="67" t="s">
        <v>52</v>
      </c>
      <c r="B143" s="60"/>
      <c r="C143" s="60"/>
      <c r="D143" s="67" t="s">
        <v>53</v>
      </c>
      <c r="E143" s="60"/>
      <c r="F143" s="60"/>
      <c r="G143" s="29"/>
      <c r="H143" s="29"/>
      <c r="I143" s="30"/>
      <c r="J143" s="40">
        <v>7945000</v>
      </c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4.5">
      <c r="A144" s="68" t="s">
        <v>176</v>
      </c>
      <c r="B144" s="60"/>
      <c r="C144" s="60"/>
      <c r="D144" s="72" t="s">
        <v>177</v>
      </c>
      <c r="E144" s="60"/>
      <c r="F144" s="60"/>
      <c r="G144" s="29"/>
      <c r="H144" s="29"/>
      <c r="I144" s="30"/>
      <c r="J144" s="41">
        <v>7945000</v>
      </c>
      <c r="K144" s="29"/>
      <c r="L144" s="82" t="s">
        <v>56</v>
      </c>
      <c r="M144" s="60"/>
      <c r="N144" s="29"/>
      <c r="O144" s="29"/>
      <c r="P144" s="29"/>
      <c r="Q144" s="29"/>
      <c r="R144" s="29"/>
      <c r="S144" s="43">
        <v>5</v>
      </c>
      <c r="T144" s="29"/>
      <c r="U144" s="29"/>
      <c r="V144" s="29"/>
      <c r="W144" s="29"/>
      <c r="X144" s="29"/>
      <c r="Y144" s="29"/>
      <c r="Z144" s="29"/>
    </row>
    <row r="145" spans="1:26" ht="14.5">
      <c r="A145" s="29"/>
      <c r="B145" s="29"/>
      <c r="C145" s="29"/>
      <c r="D145" s="68" t="s">
        <v>57</v>
      </c>
      <c r="E145" s="60"/>
      <c r="F145" s="60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4.5">
      <c r="A146" s="29"/>
      <c r="B146" s="29"/>
      <c r="C146" s="29"/>
      <c r="D146" s="35" t="s">
        <v>58</v>
      </c>
      <c r="E146" s="68" t="s">
        <v>178</v>
      </c>
      <c r="F146" s="60"/>
      <c r="G146" s="42" t="s">
        <v>165</v>
      </c>
      <c r="H146" s="87">
        <v>7945000</v>
      </c>
      <c r="I146" s="60"/>
      <c r="J146" s="41">
        <v>7945000</v>
      </c>
      <c r="K146" s="29"/>
      <c r="L146" s="83"/>
      <c r="M146" s="60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4.5">
      <c r="A147" s="70" t="s">
        <v>179</v>
      </c>
      <c r="B147" s="60"/>
      <c r="C147" s="60"/>
      <c r="D147" s="70" t="s">
        <v>180</v>
      </c>
      <c r="E147" s="60"/>
      <c r="F147" s="60"/>
      <c r="G147" s="29"/>
      <c r="H147" s="29"/>
      <c r="I147" s="30"/>
      <c r="J147" s="32">
        <v>552525000</v>
      </c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7.5">
      <c r="A148" s="71" t="s">
        <v>181</v>
      </c>
      <c r="B148" s="60"/>
      <c r="C148" s="60"/>
      <c r="D148" s="71" t="s">
        <v>42</v>
      </c>
      <c r="E148" s="60"/>
      <c r="F148" s="60"/>
      <c r="G148" s="33" t="s">
        <v>182</v>
      </c>
      <c r="H148" s="29"/>
      <c r="I148" s="30"/>
      <c r="J148" s="34">
        <v>552525000</v>
      </c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4.5">
      <c r="A149" s="29"/>
      <c r="B149" s="29"/>
      <c r="C149" s="29"/>
      <c r="D149" s="68" t="s">
        <v>44</v>
      </c>
      <c r="E149" s="60"/>
      <c r="F149" s="60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4.5">
      <c r="A150" s="69" t="s">
        <v>183</v>
      </c>
      <c r="B150" s="60"/>
      <c r="C150" s="60"/>
      <c r="D150" s="69" t="s">
        <v>184</v>
      </c>
      <c r="E150" s="60"/>
      <c r="F150" s="60"/>
      <c r="G150" s="36" t="s">
        <v>67</v>
      </c>
      <c r="H150" s="29"/>
      <c r="I150" s="30"/>
      <c r="J150" s="37">
        <v>1210000</v>
      </c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4.5">
      <c r="A151" s="69" t="s">
        <v>88</v>
      </c>
      <c r="B151" s="60"/>
      <c r="C151" s="60"/>
      <c r="D151" s="69" t="s">
        <v>89</v>
      </c>
      <c r="E151" s="60"/>
      <c r="F151" s="60"/>
      <c r="G151" s="38" t="s">
        <v>50</v>
      </c>
      <c r="H151" s="29"/>
      <c r="I151" s="30"/>
      <c r="J151" s="37">
        <v>1160000</v>
      </c>
      <c r="K151" s="39" t="s">
        <v>51</v>
      </c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4.5">
      <c r="A152" s="67" t="s">
        <v>52</v>
      </c>
      <c r="B152" s="60"/>
      <c r="C152" s="60"/>
      <c r="D152" s="67" t="s">
        <v>53</v>
      </c>
      <c r="E152" s="60"/>
      <c r="F152" s="60"/>
      <c r="G152" s="29"/>
      <c r="H152" s="29"/>
      <c r="I152" s="30"/>
      <c r="J152" s="40">
        <v>1160000</v>
      </c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4.5">
      <c r="A153" s="68" t="s">
        <v>90</v>
      </c>
      <c r="B153" s="60"/>
      <c r="C153" s="60"/>
      <c r="D153" s="72" t="s">
        <v>91</v>
      </c>
      <c r="E153" s="60"/>
      <c r="F153" s="60"/>
      <c r="G153" s="29"/>
      <c r="H153" s="29"/>
      <c r="I153" s="30"/>
      <c r="J153" s="41">
        <v>140000</v>
      </c>
      <c r="K153" s="29"/>
      <c r="L153" s="82" t="s">
        <v>56</v>
      </c>
      <c r="M153" s="60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4.5">
      <c r="A154" s="29"/>
      <c r="B154" s="29"/>
      <c r="C154" s="29"/>
      <c r="D154" s="68" t="s">
        <v>57</v>
      </c>
      <c r="E154" s="60"/>
      <c r="F154" s="60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4.5">
      <c r="A155" s="29"/>
      <c r="B155" s="29"/>
      <c r="C155" s="29"/>
      <c r="D155" s="35" t="s">
        <v>58</v>
      </c>
      <c r="E155" s="68" t="s">
        <v>185</v>
      </c>
      <c r="F155" s="60"/>
      <c r="G155" s="42" t="s">
        <v>186</v>
      </c>
      <c r="H155" s="87">
        <v>70000</v>
      </c>
      <c r="I155" s="60"/>
      <c r="J155" s="41">
        <v>140000</v>
      </c>
      <c r="K155" s="29"/>
      <c r="L155" s="83"/>
      <c r="M155" s="60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4.5">
      <c r="A156" s="68" t="s">
        <v>54</v>
      </c>
      <c r="B156" s="60"/>
      <c r="C156" s="60"/>
      <c r="D156" s="72" t="s">
        <v>55</v>
      </c>
      <c r="E156" s="60"/>
      <c r="F156" s="60"/>
      <c r="G156" s="29"/>
      <c r="H156" s="29"/>
      <c r="I156" s="30"/>
      <c r="J156" s="41">
        <v>1020000</v>
      </c>
      <c r="K156" s="29"/>
      <c r="L156" s="82" t="s">
        <v>56</v>
      </c>
      <c r="M156" s="60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4.5">
      <c r="A157" s="29"/>
      <c r="B157" s="29"/>
      <c r="C157" s="29"/>
      <c r="D157" s="68" t="s">
        <v>57</v>
      </c>
      <c r="E157" s="60"/>
      <c r="F157" s="60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4.5">
      <c r="A158" s="29"/>
      <c r="B158" s="29"/>
      <c r="C158" s="29"/>
      <c r="D158" s="35" t="s">
        <v>58</v>
      </c>
      <c r="E158" s="68" t="s">
        <v>187</v>
      </c>
      <c r="F158" s="60"/>
      <c r="G158" s="42" t="s">
        <v>60</v>
      </c>
      <c r="H158" s="87">
        <v>170000</v>
      </c>
      <c r="I158" s="60"/>
      <c r="J158" s="41">
        <v>170000</v>
      </c>
      <c r="K158" s="29"/>
      <c r="L158" s="83"/>
      <c r="M158" s="60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4.5">
      <c r="A159" s="29"/>
      <c r="B159" s="29"/>
      <c r="C159" s="29"/>
      <c r="D159" s="35" t="s">
        <v>58</v>
      </c>
      <c r="E159" s="68" t="s">
        <v>188</v>
      </c>
      <c r="F159" s="60"/>
      <c r="G159" s="42" t="s">
        <v>60</v>
      </c>
      <c r="H159" s="87">
        <v>170000</v>
      </c>
      <c r="I159" s="60"/>
      <c r="J159" s="41">
        <v>170000</v>
      </c>
      <c r="K159" s="29"/>
      <c r="L159" s="83"/>
      <c r="M159" s="60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4.5">
      <c r="A160" s="29"/>
      <c r="B160" s="29"/>
      <c r="C160" s="29"/>
      <c r="D160" s="35" t="s">
        <v>58</v>
      </c>
      <c r="E160" s="68" t="s">
        <v>189</v>
      </c>
      <c r="F160" s="60"/>
      <c r="G160" s="42" t="s">
        <v>60</v>
      </c>
      <c r="H160" s="87">
        <v>170000</v>
      </c>
      <c r="I160" s="60"/>
      <c r="J160" s="41">
        <v>170000</v>
      </c>
      <c r="K160" s="29"/>
      <c r="L160" s="83"/>
      <c r="M160" s="60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4.5">
      <c r="A161" s="29"/>
      <c r="B161" s="29"/>
      <c r="C161" s="29"/>
      <c r="D161" s="35" t="s">
        <v>58</v>
      </c>
      <c r="E161" s="68" t="s">
        <v>190</v>
      </c>
      <c r="F161" s="60"/>
      <c r="G161" s="42" t="s">
        <v>60</v>
      </c>
      <c r="H161" s="87">
        <v>170000</v>
      </c>
      <c r="I161" s="60"/>
      <c r="J161" s="41">
        <v>170000</v>
      </c>
      <c r="K161" s="29"/>
      <c r="L161" s="83"/>
      <c r="M161" s="60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4.5">
      <c r="A162" s="29"/>
      <c r="B162" s="29"/>
      <c r="C162" s="29"/>
      <c r="D162" s="35" t="s">
        <v>58</v>
      </c>
      <c r="E162" s="68" t="s">
        <v>191</v>
      </c>
      <c r="F162" s="60"/>
      <c r="G162" s="42" t="s">
        <v>60</v>
      </c>
      <c r="H162" s="87">
        <v>170000</v>
      </c>
      <c r="I162" s="60"/>
      <c r="J162" s="41">
        <v>170000</v>
      </c>
      <c r="K162" s="29"/>
      <c r="L162" s="83"/>
      <c r="M162" s="60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4.5">
      <c r="A163" s="29"/>
      <c r="B163" s="29"/>
      <c r="C163" s="29"/>
      <c r="D163" s="35" t="s">
        <v>58</v>
      </c>
      <c r="E163" s="68" t="s">
        <v>192</v>
      </c>
      <c r="F163" s="60"/>
      <c r="G163" s="42" t="s">
        <v>60</v>
      </c>
      <c r="H163" s="87">
        <v>170000</v>
      </c>
      <c r="I163" s="60"/>
      <c r="J163" s="41">
        <v>170000</v>
      </c>
      <c r="K163" s="29"/>
      <c r="L163" s="83"/>
      <c r="M163" s="60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4.5">
      <c r="A164" s="69" t="s">
        <v>48</v>
      </c>
      <c r="B164" s="60"/>
      <c r="C164" s="60"/>
      <c r="D164" s="69" t="s">
        <v>49</v>
      </c>
      <c r="E164" s="60"/>
      <c r="F164" s="60"/>
      <c r="G164" s="38" t="s">
        <v>50</v>
      </c>
      <c r="H164" s="29"/>
      <c r="I164" s="30"/>
      <c r="J164" s="37">
        <v>50000</v>
      </c>
      <c r="K164" s="39" t="s">
        <v>51</v>
      </c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4.5">
      <c r="A165" s="67" t="s">
        <v>52</v>
      </c>
      <c r="B165" s="60"/>
      <c r="C165" s="60"/>
      <c r="D165" s="67" t="s">
        <v>53</v>
      </c>
      <c r="E165" s="60"/>
      <c r="F165" s="60"/>
      <c r="G165" s="29"/>
      <c r="H165" s="29"/>
      <c r="I165" s="30"/>
      <c r="J165" s="40">
        <v>50000</v>
      </c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4.5">
      <c r="A166" s="68" t="s">
        <v>101</v>
      </c>
      <c r="B166" s="60"/>
      <c r="C166" s="60"/>
      <c r="D166" s="72" t="s">
        <v>102</v>
      </c>
      <c r="E166" s="60"/>
      <c r="F166" s="60"/>
      <c r="G166" s="29"/>
      <c r="H166" s="29"/>
      <c r="I166" s="30"/>
      <c r="J166" s="41">
        <v>50000</v>
      </c>
      <c r="K166" s="29"/>
      <c r="L166" s="82" t="s">
        <v>56</v>
      </c>
      <c r="M166" s="60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4.5">
      <c r="A167" s="29"/>
      <c r="B167" s="29"/>
      <c r="C167" s="29"/>
      <c r="D167" s="68" t="s">
        <v>57</v>
      </c>
      <c r="E167" s="60"/>
      <c r="F167" s="60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4.5">
      <c r="A168" s="29"/>
      <c r="B168" s="29"/>
      <c r="C168" s="29"/>
      <c r="D168" s="35" t="s">
        <v>58</v>
      </c>
      <c r="E168" s="68" t="s">
        <v>193</v>
      </c>
      <c r="F168" s="60"/>
      <c r="G168" s="42" t="s">
        <v>194</v>
      </c>
      <c r="H168" s="87">
        <v>50000</v>
      </c>
      <c r="I168" s="60"/>
      <c r="J168" s="41">
        <v>50000</v>
      </c>
      <c r="K168" s="29"/>
      <c r="L168" s="83"/>
      <c r="M168" s="60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4.5">
      <c r="A169" s="69" t="s">
        <v>195</v>
      </c>
      <c r="B169" s="60"/>
      <c r="C169" s="60"/>
      <c r="D169" s="69" t="s">
        <v>196</v>
      </c>
      <c r="E169" s="60"/>
      <c r="F169" s="60"/>
      <c r="G169" s="36" t="s">
        <v>197</v>
      </c>
      <c r="H169" s="29"/>
      <c r="I169" s="30"/>
      <c r="J169" s="37">
        <v>551315000</v>
      </c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4.5">
      <c r="A170" s="69" t="s">
        <v>88</v>
      </c>
      <c r="B170" s="60"/>
      <c r="C170" s="60"/>
      <c r="D170" s="69" t="s">
        <v>89</v>
      </c>
      <c r="E170" s="60"/>
      <c r="F170" s="60"/>
      <c r="G170" s="38" t="s">
        <v>50</v>
      </c>
      <c r="H170" s="29"/>
      <c r="I170" s="30"/>
      <c r="J170" s="37">
        <v>389494000</v>
      </c>
      <c r="K170" s="39" t="s">
        <v>51</v>
      </c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4.5">
      <c r="A171" s="67" t="s">
        <v>52</v>
      </c>
      <c r="B171" s="60"/>
      <c r="C171" s="60"/>
      <c r="D171" s="67" t="s">
        <v>53</v>
      </c>
      <c r="E171" s="60"/>
      <c r="F171" s="60"/>
      <c r="G171" s="29"/>
      <c r="H171" s="29"/>
      <c r="I171" s="30"/>
      <c r="J171" s="40">
        <v>389494000</v>
      </c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4.5">
      <c r="A172" s="68" t="s">
        <v>90</v>
      </c>
      <c r="B172" s="60"/>
      <c r="C172" s="60"/>
      <c r="D172" s="72" t="s">
        <v>91</v>
      </c>
      <c r="E172" s="60"/>
      <c r="F172" s="60"/>
      <c r="G172" s="29"/>
      <c r="H172" s="29"/>
      <c r="I172" s="30"/>
      <c r="J172" s="41">
        <v>373639000</v>
      </c>
      <c r="K172" s="29"/>
      <c r="L172" s="82" t="s">
        <v>56</v>
      </c>
      <c r="M172" s="60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4.5">
      <c r="A173" s="29"/>
      <c r="B173" s="29"/>
      <c r="C173" s="29"/>
      <c r="D173" s="68" t="s">
        <v>57</v>
      </c>
      <c r="E173" s="60"/>
      <c r="F173" s="60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4.5">
      <c r="A174" s="29"/>
      <c r="B174" s="29"/>
      <c r="C174" s="29"/>
      <c r="D174" s="35" t="s">
        <v>58</v>
      </c>
      <c r="E174" s="68" t="s">
        <v>198</v>
      </c>
      <c r="F174" s="60"/>
      <c r="G174" s="42" t="s">
        <v>199</v>
      </c>
      <c r="H174" s="87">
        <v>2399750</v>
      </c>
      <c r="I174" s="60"/>
      <c r="J174" s="41">
        <v>9599000</v>
      </c>
      <c r="K174" s="29"/>
      <c r="L174" s="83"/>
      <c r="M174" s="60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4.5">
      <c r="A175" s="29"/>
      <c r="B175" s="29"/>
      <c r="C175" s="29"/>
      <c r="D175" s="35" t="s">
        <v>58</v>
      </c>
      <c r="E175" s="68" t="s">
        <v>200</v>
      </c>
      <c r="F175" s="60"/>
      <c r="G175" s="42" t="s">
        <v>201</v>
      </c>
      <c r="H175" s="87">
        <v>3334000</v>
      </c>
      <c r="I175" s="60"/>
      <c r="J175" s="41">
        <v>3334000</v>
      </c>
      <c r="K175" s="29"/>
      <c r="L175" s="83"/>
      <c r="M175" s="60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4.5">
      <c r="A176" s="29"/>
      <c r="B176" s="29"/>
      <c r="C176" s="29"/>
      <c r="D176" s="35" t="s">
        <v>58</v>
      </c>
      <c r="E176" s="68" t="s">
        <v>202</v>
      </c>
      <c r="F176" s="60"/>
      <c r="G176" s="42" t="s">
        <v>203</v>
      </c>
      <c r="H176" s="87">
        <v>4554375</v>
      </c>
      <c r="I176" s="60"/>
      <c r="J176" s="41">
        <v>72870000</v>
      </c>
      <c r="K176" s="29"/>
      <c r="L176" s="83"/>
      <c r="M176" s="60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4.5">
      <c r="A177" s="29"/>
      <c r="B177" s="29"/>
      <c r="C177" s="29"/>
      <c r="D177" s="35" t="s">
        <v>58</v>
      </c>
      <c r="E177" s="68" t="s">
        <v>204</v>
      </c>
      <c r="F177" s="60"/>
      <c r="G177" s="42" t="s">
        <v>199</v>
      </c>
      <c r="H177" s="87">
        <v>2521000</v>
      </c>
      <c r="I177" s="60"/>
      <c r="J177" s="41">
        <v>10084000</v>
      </c>
      <c r="K177" s="29"/>
      <c r="L177" s="83"/>
      <c r="M177" s="60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4.5">
      <c r="A178" s="29"/>
      <c r="B178" s="29"/>
      <c r="C178" s="29"/>
      <c r="D178" s="35" t="s">
        <v>58</v>
      </c>
      <c r="E178" s="68" t="s">
        <v>205</v>
      </c>
      <c r="F178" s="60"/>
      <c r="G178" s="42" t="s">
        <v>206</v>
      </c>
      <c r="H178" s="87">
        <v>4798650</v>
      </c>
      <c r="I178" s="60"/>
      <c r="J178" s="41">
        <v>95973000</v>
      </c>
      <c r="K178" s="29"/>
      <c r="L178" s="83"/>
      <c r="M178" s="60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4.5">
      <c r="A179" s="29"/>
      <c r="B179" s="29"/>
      <c r="C179" s="29"/>
      <c r="D179" s="35" t="s">
        <v>58</v>
      </c>
      <c r="E179" s="68" t="s">
        <v>207</v>
      </c>
      <c r="F179" s="60"/>
      <c r="G179" s="42" t="s">
        <v>208</v>
      </c>
      <c r="H179" s="87">
        <v>4661000</v>
      </c>
      <c r="I179" s="60"/>
      <c r="J179" s="41">
        <v>181779000</v>
      </c>
      <c r="K179" s="29"/>
      <c r="L179" s="83"/>
      <c r="M179" s="60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4.5">
      <c r="A180" s="68" t="s">
        <v>54</v>
      </c>
      <c r="B180" s="60"/>
      <c r="C180" s="60"/>
      <c r="D180" s="72" t="s">
        <v>55</v>
      </c>
      <c r="E180" s="60"/>
      <c r="F180" s="60"/>
      <c r="G180" s="29"/>
      <c r="H180" s="29"/>
      <c r="I180" s="30"/>
      <c r="J180" s="41">
        <v>15855000</v>
      </c>
      <c r="K180" s="29"/>
      <c r="L180" s="82" t="s">
        <v>56</v>
      </c>
      <c r="M180" s="60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4.5">
      <c r="A181" s="29"/>
      <c r="B181" s="29"/>
      <c r="C181" s="29"/>
      <c r="D181" s="68" t="s">
        <v>57</v>
      </c>
      <c r="E181" s="60"/>
      <c r="F181" s="60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4.5">
      <c r="A182" s="29"/>
      <c r="B182" s="29"/>
      <c r="C182" s="29"/>
      <c r="D182" s="35" t="s">
        <v>58</v>
      </c>
      <c r="E182" s="68" t="s">
        <v>209</v>
      </c>
      <c r="F182" s="60"/>
      <c r="G182" s="42" t="s">
        <v>210</v>
      </c>
      <c r="H182" s="87">
        <v>158550</v>
      </c>
      <c r="I182" s="60"/>
      <c r="J182" s="41">
        <v>15855000</v>
      </c>
      <c r="K182" s="29"/>
      <c r="L182" s="83"/>
      <c r="M182" s="60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4.5">
      <c r="A183" s="69" t="s">
        <v>211</v>
      </c>
      <c r="B183" s="60"/>
      <c r="C183" s="60"/>
      <c r="D183" s="69" t="s">
        <v>212</v>
      </c>
      <c r="E183" s="60"/>
      <c r="F183" s="60"/>
      <c r="G183" s="38" t="s">
        <v>50</v>
      </c>
      <c r="H183" s="29"/>
      <c r="I183" s="30"/>
      <c r="J183" s="37">
        <v>10784000</v>
      </c>
      <c r="K183" s="39" t="s">
        <v>51</v>
      </c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4.5">
      <c r="A184" s="67" t="s">
        <v>52</v>
      </c>
      <c r="B184" s="60"/>
      <c r="C184" s="60"/>
      <c r="D184" s="67" t="s">
        <v>53</v>
      </c>
      <c r="E184" s="60"/>
      <c r="F184" s="60"/>
      <c r="G184" s="29"/>
      <c r="H184" s="29"/>
      <c r="I184" s="30"/>
      <c r="J184" s="40">
        <v>10784000</v>
      </c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4.5">
      <c r="A185" s="68" t="s">
        <v>213</v>
      </c>
      <c r="B185" s="60"/>
      <c r="C185" s="60"/>
      <c r="D185" s="72" t="s">
        <v>214</v>
      </c>
      <c r="E185" s="60"/>
      <c r="F185" s="60"/>
      <c r="G185" s="29"/>
      <c r="H185" s="29"/>
      <c r="I185" s="30"/>
      <c r="J185" s="41">
        <v>10784000</v>
      </c>
      <c r="K185" s="29"/>
      <c r="L185" s="82" t="s">
        <v>56</v>
      </c>
      <c r="M185" s="60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4.5">
      <c r="A186" s="29"/>
      <c r="B186" s="29"/>
      <c r="C186" s="29"/>
      <c r="D186" s="68" t="s">
        <v>57</v>
      </c>
      <c r="E186" s="60"/>
      <c r="F186" s="60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4.5">
      <c r="A187" s="29"/>
      <c r="B187" s="29"/>
      <c r="C187" s="29"/>
      <c r="D187" s="35" t="s">
        <v>58</v>
      </c>
      <c r="E187" s="68" t="s">
        <v>215</v>
      </c>
      <c r="F187" s="60"/>
      <c r="G187" s="42" t="s">
        <v>165</v>
      </c>
      <c r="H187" s="87">
        <v>5392000</v>
      </c>
      <c r="I187" s="60"/>
      <c r="J187" s="41">
        <v>5392000</v>
      </c>
      <c r="K187" s="29"/>
      <c r="L187" s="83"/>
      <c r="M187" s="60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4.5">
      <c r="A188" s="29"/>
      <c r="B188" s="29"/>
      <c r="C188" s="29"/>
      <c r="D188" s="35" t="s">
        <v>58</v>
      </c>
      <c r="E188" s="68" t="s">
        <v>216</v>
      </c>
      <c r="F188" s="60"/>
      <c r="G188" s="42" t="s">
        <v>165</v>
      </c>
      <c r="H188" s="87">
        <v>5392000</v>
      </c>
      <c r="I188" s="60"/>
      <c r="J188" s="41">
        <v>5392000</v>
      </c>
      <c r="K188" s="29"/>
      <c r="L188" s="83"/>
      <c r="M188" s="60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4.5">
      <c r="A189" s="69" t="s">
        <v>217</v>
      </c>
      <c r="B189" s="60"/>
      <c r="C189" s="60"/>
      <c r="D189" s="69" t="s">
        <v>218</v>
      </c>
      <c r="E189" s="60"/>
      <c r="F189" s="60"/>
      <c r="G189" s="38" t="s">
        <v>50</v>
      </c>
      <c r="H189" s="29"/>
      <c r="I189" s="30"/>
      <c r="J189" s="37">
        <v>4137000</v>
      </c>
      <c r="K189" s="39" t="s">
        <v>51</v>
      </c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4.5">
      <c r="A190" s="67" t="s">
        <v>52</v>
      </c>
      <c r="B190" s="60"/>
      <c r="C190" s="60"/>
      <c r="D190" s="67" t="s">
        <v>53</v>
      </c>
      <c r="E190" s="60"/>
      <c r="F190" s="60"/>
      <c r="G190" s="29"/>
      <c r="H190" s="29"/>
      <c r="I190" s="30"/>
      <c r="J190" s="40">
        <v>4137000</v>
      </c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4.5">
      <c r="A191" s="68" t="s">
        <v>101</v>
      </c>
      <c r="B191" s="60"/>
      <c r="C191" s="60"/>
      <c r="D191" s="72" t="s">
        <v>102</v>
      </c>
      <c r="E191" s="60"/>
      <c r="F191" s="60"/>
      <c r="G191" s="29"/>
      <c r="H191" s="29"/>
      <c r="I191" s="30"/>
      <c r="J191" s="41">
        <v>1157000</v>
      </c>
      <c r="K191" s="29"/>
      <c r="L191" s="82" t="s">
        <v>56</v>
      </c>
      <c r="M191" s="60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4.5">
      <c r="A192" s="29"/>
      <c r="B192" s="29"/>
      <c r="C192" s="29"/>
      <c r="D192" s="68" t="s">
        <v>57</v>
      </c>
      <c r="E192" s="60"/>
      <c r="F192" s="60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4.5">
      <c r="A193" s="29"/>
      <c r="B193" s="29"/>
      <c r="C193" s="29"/>
      <c r="D193" s="35" t="s">
        <v>58</v>
      </c>
      <c r="E193" s="68" t="s">
        <v>219</v>
      </c>
      <c r="F193" s="60"/>
      <c r="G193" s="42" t="s">
        <v>134</v>
      </c>
      <c r="H193" s="87">
        <v>121600</v>
      </c>
      <c r="I193" s="60"/>
      <c r="J193" s="41">
        <v>608000</v>
      </c>
      <c r="K193" s="29"/>
      <c r="L193" s="83"/>
      <c r="M193" s="60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4.5">
      <c r="A194" s="29"/>
      <c r="B194" s="29"/>
      <c r="C194" s="29"/>
      <c r="D194" s="35" t="s">
        <v>58</v>
      </c>
      <c r="E194" s="68" t="s">
        <v>220</v>
      </c>
      <c r="F194" s="60"/>
      <c r="G194" s="42" t="s">
        <v>221</v>
      </c>
      <c r="H194" s="87">
        <v>109800</v>
      </c>
      <c r="I194" s="60"/>
      <c r="J194" s="41">
        <v>549000</v>
      </c>
      <c r="K194" s="29"/>
      <c r="L194" s="83"/>
      <c r="M194" s="60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4.5">
      <c r="A195" s="68" t="s">
        <v>90</v>
      </c>
      <c r="B195" s="60"/>
      <c r="C195" s="60"/>
      <c r="D195" s="72" t="s">
        <v>91</v>
      </c>
      <c r="E195" s="60"/>
      <c r="F195" s="60"/>
      <c r="G195" s="29"/>
      <c r="H195" s="29"/>
      <c r="I195" s="30"/>
      <c r="J195" s="41">
        <v>1952000</v>
      </c>
      <c r="K195" s="29"/>
      <c r="L195" s="82" t="s">
        <v>56</v>
      </c>
      <c r="M195" s="60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4.5">
      <c r="A196" s="29"/>
      <c r="B196" s="29"/>
      <c r="C196" s="29"/>
      <c r="D196" s="68" t="s">
        <v>57</v>
      </c>
      <c r="E196" s="60"/>
      <c r="F196" s="60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4.5">
      <c r="A197" s="29"/>
      <c r="B197" s="29"/>
      <c r="C197" s="29"/>
      <c r="D197" s="35" t="s">
        <v>58</v>
      </c>
      <c r="E197" s="68" t="s">
        <v>222</v>
      </c>
      <c r="F197" s="60"/>
      <c r="G197" s="42" t="s">
        <v>144</v>
      </c>
      <c r="H197" s="87">
        <v>108445</v>
      </c>
      <c r="I197" s="60"/>
      <c r="J197" s="41">
        <v>1952000</v>
      </c>
      <c r="K197" s="29"/>
      <c r="L197" s="83"/>
      <c r="M197" s="60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4.5">
      <c r="A198" s="68" t="s">
        <v>223</v>
      </c>
      <c r="B198" s="60"/>
      <c r="C198" s="60"/>
      <c r="D198" s="72" t="s">
        <v>224</v>
      </c>
      <c r="E198" s="60"/>
      <c r="F198" s="60"/>
      <c r="G198" s="29"/>
      <c r="H198" s="29"/>
      <c r="I198" s="30"/>
      <c r="J198" s="41">
        <v>14000</v>
      </c>
      <c r="K198" s="29"/>
      <c r="L198" s="82" t="s">
        <v>56</v>
      </c>
      <c r="M198" s="60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4.5">
      <c r="A199" s="29"/>
      <c r="B199" s="29"/>
      <c r="C199" s="29"/>
      <c r="D199" s="68" t="s">
        <v>57</v>
      </c>
      <c r="E199" s="60"/>
      <c r="F199" s="60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4.5">
      <c r="A200" s="29"/>
      <c r="B200" s="29"/>
      <c r="C200" s="29"/>
      <c r="D200" s="35" t="s">
        <v>58</v>
      </c>
      <c r="E200" s="68" t="s">
        <v>225</v>
      </c>
      <c r="F200" s="60"/>
      <c r="G200" s="42" t="s">
        <v>201</v>
      </c>
      <c r="H200" s="87">
        <v>14000</v>
      </c>
      <c r="I200" s="60"/>
      <c r="J200" s="41">
        <v>14000</v>
      </c>
      <c r="K200" s="29"/>
      <c r="L200" s="83"/>
      <c r="M200" s="60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4.5">
      <c r="A201" s="68" t="s">
        <v>107</v>
      </c>
      <c r="B201" s="60"/>
      <c r="C201" s="60"/>
      <c r="D201" s="72" t="s">
        <v>108</v>
      </c>
      <c r="E201" s="60"/>
      <c r="F201" s="60"/>
      <c r="G201" s="29"/>
      <c r="H201" s="29"/>
      <c r="I201" s="30"/>
      <c r="J201" s="41">
        <v>696000</v>
      </c>
      <c r="K201" s="29"/>
      <c r="L201" s="82" t="s">
        <v>56</v>
      </c>
      <c r="M201" s="60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4.5">
      <c r="A202" s="29"/>
      <c r="B202" s="29"/>
      <c r="C202" s="29"/>
      <c r="D202" s="68" t="s">
        <v>57</v>
      </c>
      <c r="E202" s="60"/>
      <c r="F202" s="60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4.5">
      <c r="A203" s="29"/>
      <c r="B203" s="29"/>
      <c r="C203" s="29"/>
      <c r="D203" s="35" t="s">
        <v>58</v>
      </c>
      <c r="E203" s="68" t="s">
        <v>226</v>
      </c>
      <c r="F203" s="60"/>
      <c r="G203" s="42" t="s">
        <v>165</v>
      </c>
      <c r="H203" s="87">
        <v>348000</v>
      </c>
      <c r="I203" s="60"/>
      <c r="J203" s="41">
        <v>348000</v>
      </c>
      <c r="K203" s="29"/>
      <c r="L203" s="83"/>
      <c r="M203" s="60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4.5">
      <c r="A204" s="29"/>
      <c r="B204" s="29"/>
      <c r="C204" s="29"/>
      <c r="D204" s="35" t="s">
        <v>58</v>
      </c>
      <c r="E204" s="68" t="s">
        <v>227</v>
      </c>
      <c r="F204" s="60"/>
      <c r="G204" s="42" t="s">
        <v>165</v>
      </c>
      <c r="H204" s="87">
        <v>348000</v>
      </c>
      <c r="I204" s="60"/>
      <c r="J204" s="41">
        <v>348000</v>
      </c>
      <c r="K204" s="29"/>
      <c r="L204" s="83"/>
      <c r="M204" s="60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4.5">
      <c r="A205" s="68" t="s">
        <v>54</v>
      </c>
      <c r="B205" s="60"/>
      <c r="C205" s="60"/>
      <c r="D205" s="72" t="s">
        <v>55</v>
      </c>
      <c r="E205" s="60"/>
      <c r="F205" s="60"/>
      <c r="G205" s="29"/>
      <c r="H205" s="29"/>
      <c r="I205" s="30"/>
      <c r="J205" s="41">
        <v>318000</v>
      </c>
      <c r="K205" s="29"/>
      <c r="L205" s="82" t="s">
        <v>56</v>
      </c>
      <c r="M205" s="60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4.5">
      <c r="A206" s="29"/>
      <c r="B206" s="29"/>
      <c r="C206" s="29"/>
      <c r="D206" s="68" t="s">
        <v>57</v>
      </c>
      <c r="E206" s="60"/>
      <c r="F206" s="60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4.5">
      <c r="A207" s="29"/>
      <c r="B207" s="29"/>
      <c r="C207" s="29"/>
      <c r="D207" s="35" t="s">
        <v>58</v>
      </c>
      <c r="E207" s="68" t="s">
        <v>228</v>
      </c>
      <c r="F207" s="60"/>
      <c r="G207" s="42" t="s">
        <v>60</v>
      </c>
      <c r="H207" s="87">
        <v>159000</v>
      </c>
      <c r="I207" s="60"/>
      <c r="J207" s="41">
        <v>159000</v>
      </c>
      <c r="K207" s="29"/>
      <c r="L207" s="83"/>
      <c r="M207" s="60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4.5">
      <c r="A208" s="29"/>
      <c r="B208" s="29"/>
      <c r="C208" s="29"/>
      <c r="D208" s="35" t="s">
        <v>58</v>
      </c>
      <c r="E208" s="68" t="s">
        <v>229</v>
      </c>
      <c r="F208" s="60"/>
      <c r="G208" s="42" t="s">
        <v>60</v>
      </c>
      <c r="H208" s="87">
        <v>159000</v>
      </c>
      <c r="I208" s="60"/>
      <c r="J208" s="41">
        <v>159000</v>
      </c>
      <c r="K208" s="29"/>
      <c r="L208" s="83"/>
      <c r="M208" s="60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4.5">
      <c r="A209" s="69" t="s">
        <v>230</v>
      </c>
      <c r="B209" s="60"/>
      <c r="C209" s="60"/>
      <c r="D209" s="69" t="s">
        <v>231</v>
      </c>
      <c r="E209" s="60"/>
      <c r="F209" s="60"/>
      <c r="G209" s="38" t="s">
        <v>50</v>
      </c>
      <c r="H209" s="29"/>
      <c r="I209" s="30"/>
      <c r="J209" s="37">
        <v>1545000</v>
      </c>
      <c r="K209" s="39" t="s">
        <v>51</v>
      </c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4.5">
      <c r="A210" s="67" t="s">
        <v>52</v>
      </c>
      <c r="B210" s="60"/>
      <c r="C210" s="60"/>
      <c r="D210" s="67" t="s">
        <v>53</v>
      </c>
      <c r="E210" s="60"/>
      <c r="F210" s="60"/>
      <c r="G210" s="29"/>
      <c r="H210" s="29"/>
      <c r="I210" s="30"/>
      <c r="J210" s="40">
        <v>1545000</v>
      </c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4.5">
      <c r="A211" s="68" t="s">
        <v>107</v>
      </c>
      <c r="B211" s="60"/>
      <c r="C211" s="60"/>
      <c r="D211" s="72" t="s">
        <v>108</v>
      </c>
      <c r="E211" s="60"/>
      <c r="F211" s="60"/>
      <c r="G211" s="29"/>
      <c r="H211" s="29"/>
      <c r="I211" s="30"/>
      <c r="J211" s="41">
        <v>696000</v>
      </c>
      <c r="K211" s="29"/>
      <c r="L211" s="82" t="s">
        <v>56</v>
      </c>
      <c r="M211" s="60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4.5">
      <c r="A212" s="29"/>
      <c r="B212" s="29"/>
      <c r="C212" s="29"/>
      <c r="D212" s="68" t="s">
        <v>57</v>
      </c>
      <c r="E212" s="60"/>
      <c r="F212" s="60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4.5">
      <c r="A213" s="29"/>
      <c r="B213" s="29"/>
      <c r="C213" s="29"/>
      <c r="D213" s="35" t="s">
        <v>58</v>
      </c>
      <c r="E213" s="68" t="s">
        <v>226</v>
      </c>
      <c r="F213" s="60"/>
      <c r="G213" s="42" t="s">
        <v>165</v>
      </c>
      <c r="H213" s="87">
        <v>348000</v>
      </c>
      <c r="I213" s="60"/>
      <c r="J213" s="41">
        <v>348000</v>
      </c>
      <c r="K213" s="29"/>
      <c r="L213" s="83"/>
      <c r="M213" s="60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4.5">
      <c r="A214" s="29"/>
      <c r="B214" s="29"/>
      <c r="C214" s="29"/>
      <c r="D214" s="35" t="s">
        <v>58</v>
      </c>
      <c r="E214" s="68" t="s">
        <v>232</v>
      </c>
      <c r="F214" s="60"/>
      <c r="G214" s="42" t="s">
        <v>165</v>
      </c>
      <c r="H214" s="87">
        <v>348000</v>
      </c>
      <c r="I214" s="60"/>
      <c r="J214" s="41">
        <v>348000</v>
      </c>
      <c r="K214" s="29"/>
      <c r="L214" s="83"/>
      <c r="M214" s="60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4.5">
      <c r="A215" s="68" t="s">
        <v>54</v>
      </c>
      <c r="B215" s="60"/>
      <c r="C215" s="60"/>
      <c r="D215" s="72" t="s">
        <v>55</v>
      </c>
      <c r="E215" s="60"/>
      <c r="F215" s="60"/>
      <c r="G215" s="29"/>
      <c r="H215" s="29"/>
      <c r="I215" s="30"/>
      <c r="J215" s="41">
        <v>849000</v>
      </c>
      <c r="K215" s="29"/>
      <c r="L215" s="82" t="s">
        <v>56</v>
      </c>
      <c r="M215" s="60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4.5">
      <c r="A216" s="29"/>
      <c r="B216" s="29"/>
      <c r="C216" s="29"/>
      <c r="D216" s="68" t="s">
        <v>57</v>
      </c>
      <c r="E216" s="60"/>
      <c r="F216" s="60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4.5">
      <c r="A217" s="29"/>
      <c r="B217" s="29"/>
      <c r="C217" s="29"/>
      <c r="D217" s="35" t="s">
        <v>58</v>
      </c>
      <c r="E217" s="68" t="s">
        <v>233</v>
      </c>
      <c r="F217" s="60"/>
      <c r="G217" s="42" t="s">
        <v>234</v>
      </c>
      <c r="H217" s="87">
        <v>186500</v>
      </c>
      <c r="I217" s="60"/>
      <c r="J217" s="41">
        <v>373000</v>
      </c>
      <c r="K217" s="29"/>
      <c r="L217" s="83"/>
      <c r="M217" s="60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4.5">
      <c r="A218" s="29"/>
      <c r="B218" s="29"/>
      <c r="C218" s="29"/>
      <c r="D218" s="35" t="s">
        <v>58</v>
      </c>
      <c r="E218" s="68" t="s">
        <v>235</v>
      </c>
      <c r="F218" s="60"/>
      <c r="G218" s="42" t="s">
        <v>236</v>
      </c>
      <c r="H218" s="87">
        <v>158667</v>
      </c>
      <c r="I218" s="60"/>
      <c r="J218" s="41">
        <v>476000</v>
      </c>
      <c r="K218" s="29"/>
      <c r="L218" s="83"/>
      <c r="M218" s="60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4.5">
      <c r="A219" s="69" t="s">
        <v>237</v>
      </c>
      <c r="B219" s="60"/>
      <c r="C219" s="60"/>
      <c r="D219" s="69" t="s">
        <v>238</v>
      </c>
      <c r="E219" s="60"/>
      <c r="F219" s="60"/>
      <c r="G219" s="38" t="s">
        <v>50</v>
      </c>
      <c r="H219" s="29"/>
      <c r="I219" s="30"/>
      <c r="J219" s="37">
        <v>130710000</v>
      </c>
      <c r="K219" s="39" t="s">
        <v>51</v>
      </c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4.5">
      <c r="A220" s="67" t="s">
        <v>52</v>
      </c>
      <c r="B220" s="60"/>
      <c r="C220" s="60"/>
      <c r="D220" s="67" t="s">
        <v>53</v>
      </c>
      <c r="E220" s="60"/>
      <c r="F220" s="60"/>
      <c r="G220" s="29"/>
      <c r="H220" s="29"/>
      <c r="I220" s="30"/>
      <c r="J220" s="40">
        <v>130710000</v>
      </c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4.5">
      <c r="A221" s="68" t="s">
        <v>101</v>
      </c>
      <c r="B221" s="60"/>
      <c r="C221" s="60"/>
      <c r="D221" s="72" t="s">
        <v>102</v>
      </c>
      <c r="E221" s="60"/>
      <c r="F221" s="60"/>
      <c r="G221" s="29"/>
      <c r="H221" s="29"/>
      <c r="I221" s="30"/>
      <c r="J221" s="41">
        <v>13776000</v>
      </c>
      <c r="K221" s="29"/>
      <c r="L221" s="82" t="s">
        <v>56</v>
      </c>
      <c r="M221" s="60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4.5">
      <c r="A222" s="29"/>
      <c r="B222" s="29"/>
      <c r="C222" s="29"/>
      <c r="D222" s="68" t="s">
        <v>57</v>
      </c>
      <c r="E222" s="60"/>
      <c r="F222" s="60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4.5">
      <c r="A223" s="29"/>
      <c r="B223" s="29"/>
      <c r="C223" s="29"/>
      <c r="D223" s="35" t="s">
        <v>58</v>
      </c>
      <c r="E223" s="68" t="s">
        <v>239</v>
      </c>
      <c r="F223" s="60"/>
      <c r="G223" s="42" t="s">
        <v>240</v>
      </c>
      <c r="H223" s="87">
        <v>46855</v>
      </c>
      <c r="I223" s="60"/>
      <c r="J223" s="41">
        <v>6747000</v>
      </c>
      <c r="K223" s="29"/>
      <c r="L223" s="83"/>
      <c r="M223" s="60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4.5">
      <c r="A224" s="29"/>
      <c r="B224" s="29"/>
      <c r="C224" s="29"/>
      <c r="D224" s="35" t="s">
        <v>58</v>
      </c>
      <c r="E224" s="68" t="s">
        <v>241</v>
      </c>
      <c r="F224" s="60"/>
      <c r="G224" s="42" t="s">
        <v>242</v>
      </c>
      <c r="H224" s="87">
        <v>73219</v>
      </c>
      <c r="I224" s="60"/>
      <c r="J224" s="41">
        <v>7029000</v>
      </c>
      <c r="K224" s="29"/>
      <c r="L224" s="83"/>
      <c r="M224" s="60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4.5">
      <c r="A225" s="68" t="s">
        <v>90</v>
      </c>
      <c r="B225" s="60"/>
      <c r="C225" s="60"/>
      <c r="D225" s="72" t="s">
        <v>91</v>
      </c>
      <c r="E225" s="60"/>
      <c r="F225" s="60"/>
      <c r="G225" s="29"/>
      <c r="H225" s="29"/>
      <c r="I225" s="30"/>
      <c r="J225" s="41">
        <v>47875000</v>
      </c>
      <c r="K225" s="29"/>
      <c r="L225" s="82" t="s">
        <v>56</v>
      </c>
      <c r="M225" s="60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4.5">
      <c r="A226" s="29"/>
      <c r="B226" s="29"/>
      <c r="C226" s="29"/>
      <c r="D226" s="68" t="s">
        <v>57</v>
      </c>
      <c r="E226" s="60"/>
      <c r="F226" s="60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4.5">
      <c r="A227" s="29"/>
      <c r="B227" s="29"/>
      <c r="C227" s="29"/>
      <c r="D227" s="35" t="s">
        <v>58</v>
      </c>
      <c r="E227" s="68" t="s">
        <v>243</v>
      </c>
      <c r="F227" s="60"/>
      <c r="G227" s="42" t="s">
        <v>244</v>
      </c>
      <c r="H227" s="87">
        <v>108473</v>
      </c>
      <c r="I227" s="60"/>
      <c r="J227" s="41">
        <v>3905000</v>
      </c>
      <c r="K227" s="29"/>
      <c r="L227" s="83"/>
      <c r="M227" s="60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4.5">
      <c r="A228" s="29"/>
      <c r="B228" s="29"/>
      <c r="C228" s="29"/>
      <c r="D228" s="35" t="s">
        <v>58</v>
      </c>
      <c r="E228" s="68" t="s">
        <v>245</v>
      </c>
      <c r="F228" s="60"/>
      <c r="G228" s="42" t="s">
        <v>246</v>
      </c>
      <c r="H228" s="87">
        <v>293134</v>
      </c>
      <c r="I228" s="60"/>
      <c r="J228" s="41">
        <v>17588000</v>
      </c>
      <c r="K228" s="29"/>
      <c r="L228" s="83"/>
      <c r="M228" s="60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4.5">
      <c r="A229" s="29"/>
      <c r="B229" s="29"/>
      <c r="C229" s="29"/>
      <c r="D229" s="35" t="s">
        <v>58</v>
      </c>
      <c r="E229" s="68" t="s">
        <v>247</v>
      </c>
      <c r="F229" s="60"/>
      <c r="G229" s="42" t="s">
        <v>248</v>
      </c>
      <c r="H229" s="87">
        <v>390834</v>
      </c>
      <c r="I229" s="60"/>
      <c r="J229" s="41">
        <v>4690000</v>
      </c>
      <c r="K229" s="29"/>
      <c r="L229" s="83"/>
      <c r="M229" s="60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4.5">
      <c r="A230" s="29"/>
      <c r="B230" s="29"/>
      <c r="C230" s="29"/>
      <c r="D230" s="35" t="s">
        <v>58</v>
      </c>
      <c r="E230" s="68" t="s">
        <v>249</v>
      </c>
      <c r="F230" s="60"/>
      <c r="G230" s="42" t="s">
        <v>248</v>
      </c>
      <c r="H230" s="87">
        <v>439667</v>
      </c>
      <c r="I230" s="60"/>
      <c r="J230" s="41">
        <v>5276000</v>
      </c>
      <c r="K230" s="29"/>
      <c r="L230" s="83"/>
      <c r="M230" s="60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4.5">
      <c r="A231" s="29"/>
      <c r="B231" s="29"/>
      <c r="C231" s="29"/>
      <c r="D231" s="35" t="s">
        <v>58</v>
      </c>
      <c r="E231" s="68" t="s">
        <v>250</v>
      </c>
      <c r="F231" s="60"/>
      <c r="G231" s="42" t="s">
        <v>251</v>
      </c>
      <c r="H231" s="87">
        <v>342000</v>
      </c>
      <c r="I231" s="60"/>
      <c r="J231" s="41">
        <v>16416000</v>
      </c>
      <c r="K231" s="29"/>
      <c r="L231" s="83"/>
      <c r="M231" s="60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4.5">
      <c r="A232" s="68" t="s">
        <v>223</v>
      </c>
      <c r="B232" s="60"/>
      <c r="C232" s="60"/>
      <c r="D232" s="72" t="s">
        <v>224</v>
      </c>
      <c r="E232" s="60"/>
      <c r="F232" s="60"/>
      <c r="G232" s="29"/>
      <c r="H232" s="29"/>
      <c r="I232" s="30"/>
      <c r="J232" s="41">
        <v>1789000</v>
      </c>
      <c r="K232" s="29"/>
      <c r="L232" s="82" t="s">
        <v>56</v>
      </c>
      <c r="M232" s="60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4.5">
      <c r="A233" s="29"/>
      <c r="B233" s="29"/>
      <c r="C233" s="29"/>
      <c r="D233" s="68" t="s">
        <v>57</v>
      </c>
      <c r="E233" s="60"/>
      <c r="F233" s="60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4.5">
      <c r="A234" s="29"/>
      <c r="B234" s="29"/>
      <c r="C234" s="29"/>
      <c r="D234" s="35" t="s">
        <v>58</v>
      </c>
      <c r="E234" s="68" t="s">
        <v>225</v>
      </c>
      <c r="F234" s="60"/>
      <c r="G234" s="42" t="s">
        <v>252</v>
      </c>
      <c r="H234" s="87">
        <v>19446</v>
      </c>
      <c r="I234" s="60"/>
      <c r="J234" s="41">
        <v>1789000</v>
      </c>
      <c r="K234" s="29"/>
      <c r="L234" s="83"/>
      <c r="M234" s="60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4.5">
      <c r="A235" s="68" t="s">
        <v>107</v>
      </c>
      <c r="B235" s="60"/>
      <c r="C235" s="60"/>
      <c r="D235" s="72" t="s">
        <v>108</v>
      </c>
      <c r="E235" s="60"/>
      <c r="F235" s="60"/>
      <c r="G235" s="29"/>
      <c r="H235" s="29"/>
      <c r="I235" s="30"/>
      <c r="J235" s="41">
        <v>5676000</v>
      </c>
      <c r="K235" s="29"/>
      <c r="L235" s="82" t="s">
        <v>56</v>
      </c>
      <c r="M235" s="60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4.5">
      <c r="A236" s="29"/>
      <c r="B236" s="29"/>
      <c r="C236" s="29"/>
      <c r="D236" s="68" t="s">
        <v>57</v>
      </c>
      <c r="E236" s="60"/>
      <c r="F236" s="60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4.5">
      <c r="A237" s="29"/>
      <c r="B237" s="29"/>
      <c r="C237" s="29"/>
      <c r="D237" s="35" t="s">
        <v>58</v>
      </c>
      <c r="E237" s="68" t="s">
        <v>253</v>
      </c>
      <c r="F237" s="60"/>
      <c r="G237" s="42" t="s">
        <v>165</v>
      </c>
      <c r="H237" s="87">
        <v>2838000</v>
      </c>
      <c r="I237" s="60"/>
      <c r="J237" s="41">
        <v>2838000</v>
      </c>
      <c r="K237" s="29"/>
      <c r="L237" s="83"/>
      <c r="M237" s="60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4.5">
      <c r="A238" s="29"/>
      <c r="B238" s="29"/>
      <c r="C238" s="29"/>
      <c r="D238" s="35" t="s">
        <v>58</v>
      </c>
      <c r="E238" s="68" t="s">
        <v>232</v>
      </c>
      <c r="F238" s="60"/>
      <c r="G238" s="42" t="s">
        <v>165</v>
      </c>
      <c r="H238" s="87">
        <v>2838000</v>
      </c>
      <c r="I238" s="60"/>
      <c r="J238" s="41">
        <v>2838000</v>
      </c>
      <c r="K238" s="29"/>
      <c r="L238" s="83"/>
      <c r="M238" s="60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4.5">
      <c r="A239" s="68" t="s">
        <v>75</v>
      </c>
      <c r="B239" s="60"/>
      <c r="C239" s="60"/>
      <c r="D239" s="72" t="s">
        <v>76</v>
      </c>
      <c r="E239" s="60"/>
      <c r="F239" s="60"/>
      <c r="G239" s="29"/>
      <c r="H239" s="29"/>
      <c r="I239" s="30"/>
      <c r="J239" s="41">
        <v>4033000</v>
      </c>
      <c r="K239" s="29"/>
      <c r="L239" s="82" t="s">
        <v>56</v>
      </c>
      <c r="M239" s="60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4.5">
      <c r="A240" s="29"/>
      <c r="B240" s="29"/>
      <c r="C240" s="29"/>
      <c r="D240" s="68" t="s">
        <v>57</v>
      </c>
      <c r="E240" s="60"/>
      <c r="F240" s="60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4.5">
      <c r="A241" s="29"/>
      <c r="B241" s="29"/>
      <c r="C241" s="29"/>
      <c r="D241" s="35" t="s">
        <v>58</v>
      </c>
      <c r="E241" s="68" t="s">
        <v>254</v>
      </c>
      <c r="F241" s="60"/>
      <c r="G241" s="42" t="s">
        <v>60</v>
      </c>
      <c r="H241" s="87">
        <v>448000</v>
      </c>
      <c r="I241" s="60"/>
      <c r="J241" s="41">
        <v>448000</v>
      </c>
      <c r="K241" s="29"/>
      <c r="L241" s="83"/>
      <c r="M241" s="60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4.5">
      <c r="A242" s="29"/>
      <c r="B242" s="29"/>
      <c r="C242" s="29"/>
      <c r="D242" s="35" t="s">
        <v>58</v>
      </c>
      <c r="E242" s="68" t="s">
        <v>255</v>
      </c>
      <c r="F242" s="60"/>
      <c r="G242" s="42" t="s">
        <v>256</v>
      </c>
      <c r="H242" s="87">
        <v>640000</v>
      </c>
      <c r="I242" s="60"/>
      <c r="J242" s="41">
        <v>1280000</v>
      </c>
      <c r="K242" s="29"/>
      <c r="L242" s="83"/>
      <c r="M242" s="60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4.5">
      <c r="A243" s="29"/>
      <c r="B243" s="29"/>
      <c r="C243" s="29"/>
      <c r="D243" s="35" t="s">
        <v>58</v>
      </c>
      <c r="E243" s="68" t="s">
        <v>257</v>
      </c>
      <c r="F243" s="60"/>
      <c r="G243" s="42" t="s">
        <v>258</v>
      </c>
      <c r="H243" s="87">
        <v>576250</v>
      </c>
      <c r="I243" s="60"/>
      <c r="J243" s="41">
        <v>2305000</v>
      </c>
      <c r="K243" s="29"/>
      <c r="L243" s="83"/>
      <c r="M243" s="60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4.5">
      <c r="A244" s="68" t="s">
        <v>54</v>
      </c>
      <c r="B244" s="60"/>
      <c r="C244" s="60"/>
      <c r="D244" s="72" t="s">
        <v>55</v>
      </c>
      <c r="E244" s="60"/>
      <c r="F244" s="60"/>
      <c r="G244" s="29"/>
      <c r="H244" s="29"/>
      <c r="I244" s="30"/>
      <c r="J244" s="41">
        <v>42453000</v>
      </c>
      <c r="K244" s="29"/>
      <c r="L244" s="82" t="s">
        <v>56</v>
      </c>
      <c r="M244" s="60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4.5">
      <c r="A245" s="29"/>
      <c r="B245" s="29"/>
      <c r="C245" s="29"/>
      <c r="D245" s="68" t="s">
        <v>57</v>
      </c>
      <c r="E245" s="60"/>
      <c r="F245" s="60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4.5">
      <c r="A246" s="29"/>
      <c r="B246" s="29"/>
      <c r="C246" s="29"/>
      <c r="D246" s="35" t="s">
        <v>58</v>
      </c>
      <c r="E246" s="68" t="s">
        <v>259</v>
      </c>
      <c r="F246" s="60"/>
      <c r="G246" s="42" t="s">
        <v>153</v>
      </c>
      <c r="H246" s="87">
        <v>186500</v>
      </c>
      <c r="I246" s="60"/>
      <c r="J246" s="41">
        <v>1865000</v>
      </c>
      <c r="K246" s="29"/>
      <c r="L246" s="83"/>
      <c r="M246" s="60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4.5">
      <c r="A247" s="29"/>
      <c r="B247" s="29"/>
      <c r="C247" s="29"/>
      <c r="D247" s="35" t="s">
        <v>58</v>
      </c>
      <c r="E247" s="68" t="s">
        <v>260</v>
      </c>
      <c r="F247" s="60"/>
      <c r="G247" s="42" t="s">
        <v>112</v>
      </c>
      <c r="H247" s="87">
        <v>158500</v>
      </c>
      <c r="I247" s="60"/>
      <c r="J247" s="41">
        <v>951000</v>
      </c>
      <c r="K247" s="29"/>
      <c r="L247" s="83"/>
      <c r="M247" s="60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4.5">
      <c r="A248" s="29"/>
      <c r="B248" s="29"/>
      <c r="C248" s="29"/>
      <c r="D248" s="35" t="s">
        <v>58</v>
      </c>
      <c r="E248" s="68" t="s">
        <v>261</v>
      </c>
      <c r="F248" s="60"/>
      <c r="G248" s="42" t="s">
        <v>262</v>
      </c>
      <c r="H248" s="87">
        <v>158548</v>
      </c>
      <c r="I248" s="60"/>
      <c r="J248" s="41">
        <v>16806000</v>
      </c>
      <c r="K248" s="29"/>
      <c r="L248" s="83"/>
      <c r="M248" s="60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4.5">
      <c r="A249" s="29"/>
      <c r="B249" s="29"/>
      <c r="C249" s="29"/>
      <c r="D249" s="35" t="s">
        <v>58</v>
      </c>
      <c r="E249" s="68" t="s">
        <v>263</v>
      </c>
      <c r="F249" s="60"/>
      <c r="G249" s="42" t="s">
        <v>240</v>
      </c>
      <c r="H249" s="87">
        <v>158549</v>
      </c>
      <c r="I249" s="60"/>
      <c r="J249" s="41">
        <v>22831000</v>
      </c>
      <c r="K249" s="29"/>
      <c r="L249" s="83"/>
      <c r="M249" s="60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4.5">
      <c r="A250" s="68" t="s">
        <v>150</v>
      </c>
      <c r="B250" s="60"/>
      <c r="C250" s="60"/>
      <c r="D250" s="72" t="s">
        <v>151</v>
      </c>
      <c r="E250" s="60"/>
      <c r="F250" s="60"/>
      <c r="G250" s="29"/>
      <c r="H250" s="29"/>
      <c r="I250" s="30"/>
      <c r="J250" s="41">
        <v>15108000</v>
      </c>
      <c r="K250" s="29"/>
      <c r="L250" s="82" t="s">
        <v>56</v>
      </c>
      <c r="M250" s="60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4.5">
      <c r="A251" s="29"/>
      <c r="B251" s="29"/>
      <c r="C251" s="29"/>
      <c r="D251" s="68" t="s">
        <v>57</v>
      </c>
      <c r="E251" s="60"/>
      <c r="F251" s="60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4.5">
      <c r="A252" s="29"/>
      <c r="B252" s="29"/>
      <c r="C252" s="29"/>
      <c r="D252" s="35" t="s">
        <v>58</v>
      </c>
      <c r="E252" s="68" t="s">
        <v>264</v>
      </c>
      <c r="F252" s="60"/>
      <c r="G252" s="42" t="s">
        <v>265</v>
      </c>
      <c r="H252" s="87">
        <v>111362</v>
      </c>
      <c r="I252" s="60"/>
      <c r="J252" s="41">
        <v>12027000</v>
      </c>
      <c r="K252" s="29"/>
      <c r="L252" s="83"/>
      <c r="M252" s="60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4.5">
      <c r="A253" s="29"/>
      <c r="B253" s="29"/>
      <c r="C253" s="29"/>
      <c r="D253" s="35" t="s">
        <v>58</v>
      </c>
      <c r="E253" s="68" t="s">
        <v>266</v>
      </c>
      <c r="F253" s="60"/>
      <c r="G253" s="42" t="s">
        <v>267</v>
      </c>
      <c r="H253" s="87">
        <v>57056</v>
      </c>
      <c r="I253" s="60"/>
      <c r="J253" s="41">
        <v>3081000</v>
      </c>
      <c r="K253" s="29"/>
      <c r="L253" s="83"/>
      <c r="M253" s="60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4.5">
      <c r="A254" s="69" t="s">
        <v>268</v>
      </c>
      <c r="B254" s="60"/>
      <c r="C254" s="60"/>
      <c r="D254" s="69" t="s">
        <v>269</v>
      </c>
      <c r="E254" s="60"/>
      <c r="F254" s="60"/>
      <c r="G254" s="38" t="s">
        <v>50</v>
      </c>
      <c r="H254" s="29"/>
      <c r="I254" s="30"/>
      <c r="J254" s="37">
        <v>12328000</v>
      </c>
      <c r="K254" s="39" t="s">
        <v>51</v>
      </c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4.5">
      <c r="A255" s="67" t="s">
        <v>52</v>
      </c>
      <c r="B255" s="60"/>
      <c r="C255" s="60"/>
      <c r="D255" s="67" t="s">
        <v>53</v>
      </c>
      <c r="E255" s="60"/>
      <c r="F255" s="60"/>
      <c r="G255" s="29"/>
      <c r="H255" s="29"/>
      <c r="I255" s="30"/>
      <c r="J255" s="40">
        <v>12328000</v>
      </c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4.5">
      <c r="A256" s="68" t="s">
        <v>101</v>
      </c>
      <c r="B256" s="60"/>
      <c r="C256" s="60"/>
      <c r="D256" s="72" t="s">
        <v>102</v>
      </c>
      <c r="E256" s="60"/>
      <c r="F256" s="60"/>
      <c r="G256" s="29"/>
      <c r="H256" s="29"/>
      <c r="I256" s="30"/>
      <c r="J256" s="41">
        <v>1464000</v>
      </c>
      <c r="K256" s="29"/>
      <c r="L256" s="82" t="s">
        <v>56</v>
      </c>
      <c r="M256" s="60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4.5">
      <c r="A257" s="29"/>
      <c r="B257" s="29"/>
      <c r="C257" s="29"/>
      <c r="D257" s="68" t="s">
        <v>57</v>
      </c>
      <c r="E257" s="60"/>
      <c r="F257" s="60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4.5">
      <c r="A258" s="29"/>
      <c r="B258" s="29"/>
      <c r="C258" s="29"/>
      <c r="D258" s="35" t="s">
        <v>58</v>
      </c>
      <c r="E258" s="68" t="s">
        <v>270</v>
      </c>
      <c r="F258" s="60"/>
      <c r="G258" s="42" t="s">
        <v>271</v>
      </c>
      <c r="H258" s="87">
        <v>73200</v>
      </c>
      <c r="I258" s="60"/>
      <c r="J258" s="41">
        <v>1464000</v>
      </c>
      <c r="K258" s="29"/>
      <c r="L258" s="83"/>
      <c r="M258" s="60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4.5">
      <c r="A259" s="68" t="s">
        <v>223</v>
      </c>
      <c r="B259" s="60"/>
      <c r="C259" s="60"/>
      <c r="D259" s="72" t="s">
        <v>224</v>
      </c>
      <c r="E259" s="60"/>
      <c r="F259" s="60"/>
      <c r="G259" s="29"/>
      <c r="H259" s="29"/>
      <c r="I259" s="30"/>
      <c r="J259" s="41">
        <v>349000</v>
      </c>
      <c r="K259" s="29"/>
      <c r="L259" s="82" t="s">
        <v>56</v>
      </c>
      <c r="M259" s="60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4.5">
      <c r="A260" s="29"/>
      <c r="B260" s="29"/>
      <c r="C260" s="29"/>
      <c r="D260" s="68" t="s">
        <v>57</v>
      </c>
      <c r="E260" s="60"/>
      <c r="F260" s="60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4.5">
      <c r="A261" s="29"/>
      <c r="B261" s="29"/>
      <c r="C261" s="29"/>
      <c r="D261" s="35" t="s">
        <v>58</v>
      </c>
      <c r="E261" s="68" t="s">
        <v>225</v>
      </c>
      <c r="F261" s="60"/>
      <c r="G261" s="42" t="s">
        <v>271</v>
      </c>
      <c r="H261" s="87">
        <v>17450</v>
      </c>
      <c r="I261" s="60"/>
      <c r="J261" s="41">
        <v>349000</v>
      </c>
      <c r="K261" s="29"/>
      <c r="L261" s="83"/>
      <c r="M261" s="60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4.5">
      <c r="A262" s="68" t="s">
        <v>107</v>
      </c>
      <c r="B262" s="60"/>
      <c r="C262" s="60"/>
      <c r="D262" s="72" t="s">
        <v>108</v>
      </c>
      <c r="E262" s="60"/>
      <c r="F262" s="60"/>
      <c r="G262" s="29"/>
      <c r="H262" s="29"/>
      <c r="I262" s="30"/>
      <c r="J262" s="41">
        <v>1854000</v>
      </c>
      <c r="K262" s="29"/>
      <c r="L262" s="82" t="s">
        <v>56</v>
      </c>
      <c r="M262" s="60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4.5">
      <c r="A263" s="29"/>
      <c r="B263" s="29"/>
      <c r="C263" s="29"/>
      <c r="D263" s="68" t="s">
        <v>57</v>
      </c>
      <c r="E263" s="60"/>
      <c r="F263" s="60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4.5">
      <c r="A264" s="29"/>
      <c r="B264" s="29"/>
      <c r="C264" s="29"/>
      <c r="D264" s="35" t="s">
        <v>58</v>
      </c>
      <c r="E264" s="68" t="s">
        <v>272</v>
      </c>
      <c r="F264" s="60"/>
      <c r="G264" s="42" t="s">
        <v>165</v>
      </c>
      <c r="H264" s="87">
        <v>927000</v>
      </c>
      <c r="I264" s="60"/>
      <c r="J264" s="41">
        <v>927000</v>
      </c>
      <c r="K264" s="29"/>
      <c r="L264" s="83"/>
      <c r="M264" s="60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4.5">
      <c r="A265" s="29"/>
      <c r="B265" s="29"/>
      <c r="C265" s="29"/>
      <c r="D265" s="35" t="s">
        <v>58</v>
      </c>
      <c r="E265" s="68" t="s">
        <v>273</v>
      </c>
      <c r="F265" s="60"/>
      <c r="G265" s="42" t="s">
        <v>165</v>
      </c>
      <c r="H265" s="87">
        <v>927000</v>
      </c>
      <c r="I265" s="60"/>
      <c r="J265" s="41">
        <v>927000</v>
      </c>
      <c r="K265" s="29"/>
      <c r="L265" s="83"/>
      <c r="M265" s="60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4.5">
      <c r="A266" s="68" t="s">
        <v>54</v>
      </c>
      <c r="B266" s="60"/>
      <c r="C266" s="60"/>
      <c r="D266" s="72" t="s">
        <v>55</v>
      </c>
      <c r="E266" s="60"/>
      <c r="F266" s="60"/>
      <c r="G266" s="29"/>
      <c r="H266" s="29"/>
      <c r="I266" s="30"/>
      <c r="J266" s="41">
        <v>8661000</v>
      </c>
      <c r="K266" s="29"/>
      <c r="L266" s="82" t="s">
        <v>56</v>
      </c>
      <c r="M266" s="60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4.5">
      <c r="A267" s="29"/>
      <c r="B267" s="29"/>
      <c r="C267" s="29"/>
      <c r="D267" s="68" t="s">
        <v>57</v>
      </c>
      <c r="E267" s="60"/>
      <c r="F267" s="60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4.5">
      <c r="A268" s="29"/>
      <c r="B268" s="29"/>
      <c r="C268" s="29"/>
      <c r="D268" s="35" t="s">
        <v>58</v>
      </c>
      <c r="E268" s="68" t="s">
        <v>274</v>
      </c>
      <c r="F268" s="60"/>
      <c r="G268" s="42" t="s">
        <v>275</v>
      </c>
      <c r="H268" s="87">
        <v>186500</v>
      </c>
      <c r="I268" s="60"/>
      <c r="J268" s="41">
        <v>373000</v>
      </c>
      <c r="K268" s="29"/>
      <c r="L268" s="83"/>
      <c r="M268" s="60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4.5">
      <c r="A269" s="29"/>
      <c r="B269" s="29"/>
      <c r="C269" s="29"/>
      <c r="D269" s="35" t="s">
        <v>58</v>
      </c>
      <c r="E269" s="68" t="s">
        <v>276</v>
      </c>
      <c r="F269" s="60"/>
      <c r="G269" s="42" t="s">
        <v>69</v>
      </c>
      <c r="H269" s="87">
        <v>2762667</v>
      </c>
      <c r="I269" s="60"/>
      <c r="J269" s="41">
        <v>8288000</v>
      </c>
      <c r="K269" s="29"/>
      <c r="L269" s="83"/>
      <c r="M269" s="60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4.5">
      <c r="A270" s="69" t="s">
        <v>277</v>
      </c>
      <c r="B270" s="60"/>
      <c r="C270" s="60"/>
      <c r="D270" s="69" t="s">
        <v>278</v>
      </c>
      <c r="E270" s="60"/>
      <c r="F270" s="60"/>
      <c r="G270" s="38" t="s">
        <v>50</v>
      </c>
      <c r="H270" s="29"/>
      <c r="I270" s="30"/>
      <c r="J270" s="37">
        <v>2317000</v>
      </c>
      <c r="K270" s="39" t="s">
        <v>51</v>
      </c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4.5">
      <c r="A271" s="67" t="s">
        <v>52</v>
      </c>
      <c r="B271" s="60"/>
      <c r="C271" s="60"/>
      <c r="D271" s="67" t="s">
        <v>53</v>
      </c>
      <c r="E271" s="60"/>
      <c r="F271" s="60"/>
      <c r="G271" s="29"/>
      <c r="H271" s="29"/>
      <c r="I271" s="30"/>
      <c r="J271" s="40">
        <v>2317000</v>
      </c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4.5">
      <c r="A272" s="68" t="s">
        <v>107</v>
      </c>
      <c r="B272" s="60"/>
      <c r="C272" s="60"/>
      <c r="D272" s="72" t="s">
        <v>108</v>
      </c>
      <c r="E272" s="60"/>
      <c r="F272" s="60"/>
      <c r="G272" s="29"/>
      <c r="H272" s="29"/>
      <c r="I272" s="30"/>
      <c r="J272" s="41">
        <v>2317000</v>
      </c>
      <c r="K272" s="29"/>
      <c r="L272" s="82" t="s">
        <v>56</v>
      </c>
      <c r="M272" s="60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4.5">
      <c r="A273" s="29"/>
      <c r="B273" s="29"/>
      <c r="C273" s="29"/>
      <c r="D273" s="68" t="s">
        <v>57</v>
      </c>
      <c r="E273" s="60"/>
      <c r="F273" s="60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4.5">
      <c r="A274" s="29"/>
      <c r="B274" s="29"/>
      <c r="C274" s="29"/>
      <c r="D274" s="35" t="s">
        <v>58</v>
      </c>
      <c r="E274" s="68" t="s">
        <v>279</v>
      </c>
      <c r="F274" s="60"/>
      <c r="G274" s="42" t="s">
        <v>165</v>
      </c>
      <c r="H274" s="87">
        <v>2317000</v>
      </c>
      <c r="I274" s="60"/>
      <c r="J274" s="41">
        <v>2317000</v>
      </c>
      <c r="K274" s="29"/>
      <c r="L274" s="83"/>
      <c r="M274" s="60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4.5">
      <c r="A275" s="70" t="s">
        <v>280</v>
      </c>
      <c r="B275" s="60"/>
      <c r="C275" s="60"/>
      <c r="D275" s="70" t="s">
        <v>281</v>
      </c>
      <c r="E275" s="60"/>
      <c r="F275" s="60"/>
      <c r="G275" s="29"/>
      <c r="H275" s="29"/>
      <c r="I275" s="30"/>
      <c r="J275" s="32">
        <v>73781000</v>
      </c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7.5">
      <c r="A276" s="71" t="s">
        <v>282</v>
      </c>
      <c r="B276" s="60"/>
      <c r="C276" s="60"/>
      <c r="D276" s="71" t="s">
        <v>42</v>
      </c>
      <c r="E276" s="60"/>
      <c r="F276" s="60"/>
      <c r="G276" s="33" t="s">
        <v>124</v>
      </c>
      <c r="H276" s="29"/>
      <c r="I276" s="30"/>
      <c r="J276" s="34">
        <v>73781000</v>
      </c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4.5">
      <c r="A277" s="29"/>
      <c r="B277" s="29"/>
      <c r="C277" s="29"/>
      <c r="D277" s="68" t="s">
        <v>44</v>
      </c>
      <c r="E277" s="60"/>
      <c r="F277" s="60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4.5">
      <c r="A278" s="69" t="s">
        <v>283</v>
      </c>
      <c r="B278" s="60"/>
      <c r="C278" s="60"/>
      <c r="D278" s="69" t="s">
        <v>284</v>
      </c>
      <c r="E278" s="60"/>
      <c r="F278" s="60"/>
      <c r="G278" s="36" t="s">
        <v>127</v>
      </c>
      <c r="H278" s="29"/>
      <c r="I278" s="30"/>
      <c r="J278" s="37">
        <v>73781000</v>
      </c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4.5">
      <c r="A279" s="69" t="s">
        <v>88</v>
      </c>
      <c r="B279" s="60"/>
      <c r="C279" s="60"/>
      <c r="D279" s="69" t="s">
        <v>89</v>
      </c>
      <c r="E279" s="60"/>
      <c r="F279" s="60"/>
      <c r="G279" s="38" t="s">
        <v>50</v>
      </c>
      <c r="H279" s="29"/>
      <c r="I279" s="30"/>
      <c r="J279" s="37">
        <v>61970000</v>
      </c>
      <c r="K279" s="39" t="s">
        <v>51</v>
      </c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4.5">
      <c r="A280" s="67" t="s">
        <v>52</v>
      </c>
      <c r="B280" s="60"/>
      <c r="C280" s="60"/>
      <c r="D280" s="67" t="s">
        <v>53</v>
      </c>
      <c r="E280" s="60"/>
      <c r="F280" s="60"/>
      <c r="G280" s="29"/>
      <c r="H280" s="29"/>
      <c r="I280" s="30"/>
      <c r="J280" s="40">
        <v>61970000</v>
      </c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4.5">
      <c r="A281" s="68" t="s">
        <v>90</v>
      </c>
      <c r="B281" s="60"/>
      <c r="C281" s="60"/>
      <c r="D281" s="72" t="s">
        <v>91</v>
      </c>
      <c r="E281" s="60"/>
      <c r="F281" s="60"/>
      <c r="G281" s="29"/>
      <c r="H281" s="29"/>
      <c r="I281" s="30"/>
      <c r="J281" s="41">
        <v>56700000</v>
      </c>
      <c r="K281" s="29"/>
      <c r="L281" s="82" t="s">
        <v>56</v>
      </c>
      <c r="M281" s="60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4.5">
      <c r="A282" s="29"/>
      <c r="B282" s="29"/>
      <c r="C282" s="29"/>
      <c r="D282" s="68" t="s">
        <v>57</v>
      </c>
      <c r="E282" s="60"/>
      <c r="F282" s="60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4.5">
      <c r="A283" s="29"/>
      <c r="B283" s="29"/>
      <c r="C283" s="29"/>
      <c r="D283" s="35" t="s">
        <v>58</v>
      </c>
      <c r="E283" s="68" t="s">
        <v>285</v>
      </c>
      <c r="F283" s="60"/>
      <c r="G283" s="42" t="s">
        <v>286</v>
      </c>
      <c r="H283" s="87">
        <v>57000</v>
      </c>
      <c r="I283" s="60"/>
      <c r="J283" s="41">
        <v>8892000</v>
      </c>
      <c r="K283" s="29"/>
      <c r="L283" s="83"/>
      <c r="M283" s="60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4.5">
      <c r="A284" s="29"/>
      <c r="B284" s="29"/>
      <c r="C284" s="29"/>
      <c r="D284" s="35" t="s">
        <v>58</v>
      </c>
      <c r="E284" s="68" t="s">
        <v>287</v>
      </c>
      <c r="F284" s="60"/>
      <c r="G284" s="42" t="s">
        <v>288</v>
      </c>
      <c r="H284" s="87">
        <v>48000</v>
      </c>
      <c r="I284" s="60"/>
      <c r="J284" s="41">
        <v>20736000</v>
      </c>
      <c r="K284" s="29"/>
      <c r="L284" s="83"/>
      <c r="M284" s="60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4.5">
      <c r="A285" s="29"/>
      <c r="B285" s="29"/>
      <c r="C285" s="29"/>
      <c r="D285" s="35" t="s">
        <v>58</v>
      </c>
      <c r="E285" s="68" t="s">
        <v>289</v>
      </c>
      <c r="F285" s="60"/>
      <c r="G285" s="42" t="s">
        <v>290</v>
      </c>
      <c r="H285" s="87">
        <v>48000</v>
      </c>
      <c r="I285" s="60"/>
      <c r="J285" s="41">
        <v>11520000</v>
      </c>
      <c r="K285" s="29"/>
      <c r="L285" s="83"/>
      <c r="M285" s="60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4.5">
      <c r="A286" s="29"/>
      <c r="B286" s="29"/>
      <c r="C286" s="29"/>
      <c r="D286" s="35" t="s">
        <v>58</v>
      </c>
      <c r="E286" s="68" t="s">
        <v>291</v>
      </c>
      <c r="F286" s="60"/>
      <c r="G286" s="42" t="s">
        <v>292</v>
      </c>
      <c r="H286" s="87">
        <v>48000</v>
      </c>
      <c r="I286" s="60"/>
      <c r="J286" s="41">
        <v>576000</v>
      </c>
      <c r="K286" s="29"/>
      <c r="L286" s="83"/>
      <c r="M286" s="60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4.5">
      <c r="A287" s="29"/>
      <c r="B287" s="29"/>
      <c r="C287" s="29"/>
      <c r="D287" s="35" t="s">
        <v>58</v>
      </c>
      <c r="E287" s="68" t="s">
        <v>293</v>
      </c>
      <c r="F287" s="60"/>
      <c r="G287" s="42" t="s">
        <v>294</v>
      </c>
      <c r="H287" s="87">
        <v>48000</v>
      </c>
      <c r="I287" s="60"/>
      <c r="J287" s="41">
        <v>4032000</v>
      </c>
      <c r="K287" s="29"/>
      <c r="L287" s="83"/>
      <c r="M287" s="60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4.5">
      <c r="A288" s="29"/>
      <c r="B288" s="29"/>
      <c r="C288" s="29"/>
      <c r="D288" s="35" t="s">
        <v>58</v>
      </c>
      <c r="E288" s="68" t="s">
        <v>295</v>
      </c>
      <c r="F288" s="60"/>
      <c r="G288" s="42" t="s">
        <v>296</v>
      </c>
      <c r="H288" s="87">
        <v>48000</v>
      </c>
      <c r="I288" s="60"/>
      <c r="J288" s="41">
        <v>1152000</v>
      </c>
      <c r="K288" s="29"/>
      <c r="L288" s="83"/>
      <c r="M288" s="60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4.5">
      <c r="A289" s="29"/>
      <c r="B289" s="29"/>
      <c r="C289" s="29"/>
      <c r="D289" s="35" t="s">
        <v>58</v>
      </c>
      <c r="E289" s="68" t="s">
        <v>297</v>
      </c>
      <c r="F289" s="60"/>
      <c r="G289" s="42" t="s">
        <v>286</v>
      </c>
      <c r="H289" s="87">
        <v>12000</v>
      </c>
      <c r="I289" s="60"/>
      <c r="J289" s="41">
        <v>1872000</v>
      </c>
      <c r="K289" s="29"/>
      <c r="L289" s="83"/>
      <c r="M289" s="60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4.5">
      <c r="A290" s="29"/>
      <c r="B290" s="29"/>
      <c r="C290" s="29"/>
      <c r="D290" s="35" t="s">
        <v>58</v>
      </c>
      <c r="E290" s="68" t="s">
        <v>298</v>
      </c>
      <c r="F290" s="60"/>
      <c r="G290" s="42" t="s">
        <v>288</v>
      </c>
      <c r="H290" s="87">
        <v>10000</v>
      </c>
      <c r="I290" s="60"/>
      <c r="J290" s="41">
        <v>4320000</v>
      </c>
      <c r="K290" s="29"/>
      <c r="L290" s="83"/>
      <c r="M290" s="60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4.5">
      <c r="A291" s="29"/>
      <c r="B291" s="29"/>
      <c r="C291" s="29"/>
      <c r="D291" s="35" t="s">
        <v>58</v>
      </c>
      <c r="E291" s="68" t="s">
        <v>299</v>
      </c>
      <c r="F291" s="60"/>
      <c r="G291" s="42" t="s">
        <v>290</v>
      </c>
      <c r="H291" s="87">
        <v>10000</v>
      </c>
      <c r="I291" s="60"/>
      <c r="J291" s="41">
        <v>2400000</v>
      </c>
      <c r="K291" s="29"/>
      <c r="L291" s="83"/>
      <c r="M291" s="60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4.5">
      <c r="A292" s="29"/>
      <c r="B292" s="29"/>
      <c r="C292" s="29"/>
      <c r="D292" s="35" t="s">
        <v>58</v>
      </c>
      <c r="E292" s="68" t="s">
        <v>300</v>
      </c>
      <c r="F292" s="60"/>
      <c r="G292" s="42" t="s">
        <v>292</v>
      </c>
      <c r="H292" s="87">
        <v>10000</v>
      </c>
      <c r="I292" s="60"/>
      <c r="J292" s="41">
        <v>120000</v>
      </c>
      <c r="K292" s="29"/>
      <c r="L292" s="83"/>
      <c r="M292" s="60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4.5">
      <c r="A293" s="29"/>
      <c r="B293" s="29"/>
      <c r="C293" s="29"/>
      <c r="D293" s="35" t="s">
        <v>58</v>
      </c>
      <c r="E293" s="68" t="s">
        <v>301</v>
      </c>
      <c r="F293" s="60"/>
      <c r="G293" s="42" t="s">
        <v>294</v>
      </c>
      <c r="H293" s="87">
        <v>10000</v>
      </c>
      <c r="I293" s="60"/>
      <c r="J293" s="41">
        <v>840000</v>
      </c>
      <c r="K293" s="29"/>
      <c r="L293" s="83"/>
      <c r="M293" s="60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4.5">
      <c r="A294" s="29"/>
      <c r="B294" s="29"/>
      <c r="C294" s="29"/>
      <c r="D294" s="35" t="s">
        <v>58</v>
      </c>
      <c r="E294" s="68" t="s">
        <v>302</v>
      </c>
      <c r="F294" s="60"/>
      <c r="G294" s="42" t="s">
        <v>296</v>
      </c>
      <c r="H294" s="87">
        <v>10000</v>
      </c>
      <c r="I294" s="60"/>
      <c r="J294" s="41">
        <v>240000</v>
      </c>
      <c r="K294" s="29"/>
      <c r="L294" s="83"/>
      <c r="M294" s="60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4.5">
      <c r="A295" s="68" t="s">
        <v>54</v>
      </c>
      <c r="B295" s="60"/>
      <c r="C295" s="60"/>
      <c r="D295" s="72" t="s">
        <v>55</v>
      </c>
      <c r="E295" s="60"/>
      <c r="F295" s="60"/>
      <c r="G295" s="29"/>
      <c r="H295" s="29"/>
      <c r="I295" s="30"/>
      <c r="J295" s="41">
        <v>5270000</v>
      </c>
      <c r="K295" s="29"/>
      <c r="L295" s="82" t="s">
        <v>56</v>
      </c>
      <c r="M295" s="60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4.5">
      <c r="A296" s="29"/>
      <c r="B296" s="29"/>
      <c r="C296" s="29"/>
      <c r="D296" s="68" t="s">
        <v>57</v>
      </c>
      <c r="E296" s="60"/>
      <c r="F296" s="60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4.5">
      <c r="A297" s="29"/>
      <c r="B297" s="29"/>
      <c r="C297" s="29"/>
      <c r="D297" s="35" t="s">
        <v>58</v>
      </c>
      <c r="E297" s="68" t="s">
        <v>303</v>
      </c>
      <c r="F297" s="60"/>
      <c r="G297" s="42" t="s">
        <v>304</v>
      </c>
      <c r="H297" s="87">
        <v>170000</v>
      </c>
      <c r="I297" s="60"/>
      <c r="J297" s="41">
        <v>170000</v>
      </c>
      <c r="K297" s="29"/>
      <c r="L297" s="83"/>
      <c r="M297" s="60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4.5">
      <c r="A298" s="29"/>
      <c r="B298" s="29"/>
      <c r="C298" s="29"/>
      <c r="D298" s="35" t="s">
        <v>58</v>
      </c>
      <c r="E298" s="68" t="s">
        <v>305</v>
      </c>
      <c r="F298" s="60"/>
      <c r="G298" s="42" t="s">
        <v>304</v>
      </c>
      <c r="H298" s="87">
        <v>170000</v>
      </c>
      <c r="I298" s="60"/>
      <c r="J298" s="41">
        <v>170000</v>
      </c>
      <c r="K298" s="29"/>
      <c r="L298" s="83"/>
      <c r="M298" s="60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4.5">
      <c r="A299" s="29"/>
      <c r="B299" s="29"/>
      <c r="C299" s="29"/>
      <c r="D299" s="35" t="s">
        <v>58</v>
      </c>
      <c r="E299" s="68" t="s">
        <v>306</v>
      </c>
      <c r="F299" s="60"/>
      <c r="G299" s="42" t="s">
        <v>236</v>
      </c>
      <c r="H299" s="87">
        <v>170000</v>
      </c>
      <c r="I299" s="60"/>
      <c r="J299" s="41">
        <v>510000</v>
      </c>
      <c r="K299" s="29"/>
      <c r="L299" s="83"/>
      <c r="M299" s="60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4.5">
      <c r="A300" s="29"/>
      <c r="B300" s="29"/>
      <c r="C300" s="29"/>
      <c r="D300" s="35" t="s">
        <v>58</v>
      </c>
      <c r="E300" s="68" t="s">
        <v>307</v>
      </c>
      <c r="F300" s="60"/>
      <c r="G300" s="42" t="s">
        <v>304</v>
      </c>
      <c r="H300" s="87">
        <v>170000</v>
      </c>
      <c r="I300" s="60"/>
      <c r="J300" s="41">
        <v>170000</v>
      </c>
      <c r="K300" s="29"/>
      <c r="L300" s="83"/>
      <c r="M300" s="60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4.5">
      <c r="A301" s="29"/>
      <c r="B301" s="29"/>
      <c r="C301" s="29"/>
      <c r="D301" s="35" t="s">
        <v>58</v>
      </c>
      <c r="E301" s="68" t="s">
        <v>308</v>
      </c>
      <c r="F301" s="60"/>
      <c r="G301" s="42" t="s">
        <v>309</v>
      </c>
      <c r="H301" s="87">
        <v>170000</v>
      </c>
      <c r="I301" s="60"/>
      <c r="J301" s="41">
        <v>850000</v>
      </c>
      <c r="K301" s="29"/>
      <c r="L301" s="83"/>
      <c r="M301" s="60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4.5">
      <c r="A302" s="29"/>
      <c r="B302" s="29"/>
      <c r="C302" s="29"/>
      <c r="D302" s="35" t="s">
        <v>58</v>
      </c>
      <c r="E302" s="68" t="s">
        <v>310</v>
      </c>
      <c r="F302" s="60"/>
      <c r="G302" s="42" t="s">
        <v>311</v>
      </c>
      <c r="H302" s="87">
        <v>170000</v>
      </c>
      <c r="I302" s="60"/>
      <c r="J302" s="41">
        <v>2040000</v>
      </c>
      <c r="K302" s="29"/>
      <c r="L302" s="83"/>
      <c r="M302" s="60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4.5">
      <c r="A303" s="29"/>
      <c r="B303" s="29"/>
      <c r="C303" s="29"/>
      <c r="D303" s="35" t="s">
        <v>58</v>
      </c>
      <c r="E303" s="68" t="s">
        <v>312</v>
      </c>
      <c r="F303" s="60"/>
      <c r="G303" s="42" t="s">
        <v>313</v>
      </c>
      <c r="H303" s="87">
        <v>170000</v>
      </c>
      <c r="I303" s="60"/>
      <c r="J303" s="41">
        <v>1190000</v>
      </c>
      <c r="K303" s="29"/>
      <c r="L303" s="83"/>
      <c r="M303" s="60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4.5">
      <c r="A304" s="29"/>
      <c r="B304" s="29"/>
      <c r="C304" s="29"/>
      <c r="D304" s="35" t="s">
        <v>58</v>
      </c>
      <c r="E304" s="68" t="s">
        <v>314</v>
      </c>
      <c r="F304" s="60"/>
      <c r="G304" s="42" t="s">
        <v>304</v>
      </c>
      <c r="H304" s="87">
        <v>170000</v>
      </c>
      <c r="I304" s="60"/>
      <c r="J304" s="41">
        <v>170000</v>
      </c>
      <c r="K304" s="29"/>
      <c r="L304" s="83"/>
      <c r="M304" s="60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4.5">
      <c r="A305" s="69" t="s">
        <v>99</v>
      </c>
      <c r="B305" s="60"/>
      <c r="C305" s="60"/>
      <c r="D305" s="69" t="s">
        <v>100</v>
      </c>
      <c r="E305" s="60"/>
      <c r="F305" s="60"/>
      <c r="G305" s="38" t="s">
        <v>50</v>
      </c>
      <c r="H305" s="29"/>
      <c r="I305" s="30"/>
      <c r="J305" s="37">
        <v>11361000</v>
      </c>
      <c r="K305" s="39" t="s">
        <v>51</v>
      </c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4.5">
      <c r="A306" s="67" t="s">
        <v>52</v>
      </c>
      <c r="B306" s="60"/>
      <c r="C306" s="60"/>
      <c r="D306" s="67" t="s">
        <v>53</v>
      </c>
      <c r="E306" s="60"/>
      <c r="F306" s="60"/>
      <c r="G306" s="29"/>
      <c r="H306" s="29"/>
      <c r="I306" s="30"/>
      <c r="J306" s="40">
        <v>11361000</v>
      </c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4.5">
      <c r="A307" s="68" t="s">
        <v>101</v>
      </c>
      <c r="B307" s="60"/>
      <c r="C307" s="60"/>
      <c r="D307" s="72" t="s">
        <v>102</v>
      </c>
      <c r="E307" s="60"/>
      <c r="F307" s="60"/>
      <c r="G307" s="29"/>
      <c r="H307" s="29"/>
      <c r="I307" s="30"/>
      <c r="J307" s="41">
        <v>2490000</v>
      </c>
      <c r="K307" s="29"/>
      <c r="L307" s="82" t="s">
        <v>56</v>
      </c>
      <c r="M307" s="60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4.5">
      <c r="A308" s="29"/>
      <c r="B308" s="29"/>
      <c r="C308" s="29"/>
      <c r="D308" s="68" t="s">
        <v>57</v>
      </c>
      <c r="E308" s="60"/>
      <c r="F308" s="60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4.5">
      <c r="A309" s="29"/>
      <c r="B309" s="29"/>
      <c r="C309" s="29"/>
      <c r="D309" s="35" t="s">
        <v>58</v>
      </c>
      <c r="E309" s="68" t="s">
        <v>315</v>
      </c>
      <c r="F309" s="60"/>
      <c r="G309" s="42" t="s">
        <v>316</v>
      </c>
      <c r="H309" s="87">
        <v>83000</v>
      </c>
      <c r="I309" s="60"/>
      <c r="J309" s="41">
        <v>1494000</v>
      </c>
      <c r="K309" s="29"/>
      <c r="L309" s="83"/>
      <c r="M309" s="60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4.5">
      <c r="A310" s="29"/>
      <c r="B310" s="29"/>
      <c r="C310" s="29"/>
      <c r="D310" s="35" t="s">
        <v>58</v>
      </c>
      <c r="E310" s="68" t="s">
        <v>317</v>
      </c>
      <c r="F310" s="60"/>
      <c r="G310" s="42" t="s">
        <v>318</v>
      </c>
      <c r="H310" s="87">
        <v>83000</v>
      </c>
      <c r="I310" s="60"/>
      <c r="J310" s="41">
        <v>996000</v>
      </c>
      <c r="K310" s="29"/>
      <c r="L310" s="83"/>
      <c r="M310" s="60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4.5">
      <c r="A311" s="68" t="s">
        <v>90</v>
      </c>
      <c r="B311" s="60"/>
      <c r="C311" s="60"/>
      <c r="D311" s="72" t="s">
        <v>91</v>
      </c>
      <c r="E311" s="60"/>
      <c r="F311" s="60"/>
      <c r="G311" s="29"/>
      <c r="H311" s="29"/>
      <c r="I311" s="30"/>
      <c r="J311" s="41">
        <v>1998000</v>
      </c>
      <c r="K311" s="29"/>
      <c r="L311" s="82" t="s">
        <v>56</v>
      </c>
      <c r="M311" s="60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4.5">
      <c r="A312" s="29"/>
      <c r="B312" s="29"/>
      <c r="C312" s="29"/>
      <c r="D312" s="68" t="s">
        <v>57</v>
      </c>
      <c r="E312" s="60"/>
      <c r="F312" s="60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4.5">
      <c r="A313" s="29"/>
      <c r="B313" s="29"/>
      <c r="C313" s="29"/>
      <c r="D313" s="35" t="s">
        <v>58</v>
      </c>
      <c r="E313" s="68" t="s">
        <v>319</v>
      </c>
      <c r="F313" s="60"/>
      <c r="G313" s="42" t="s">
        <v>106</v>
      </c>
      <c r="H313" s="87">
        <v>111000</v>
      </c>
      <c r="I313" s="60"/>
      <c r="J313" s="41">
        <v>999000</v>
      </c>
      <c r="K313" s="29"/>
      <c r="L313" s="83"/>
      <c r="M313" s="60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4.5">
      <c r="A314" s="29"/>
      <c r="B314" s="29"/>
      <c r="C314" s="29"/>
      <c r="D314" s="35" t="s">
        <v>58</v>
      </c>
      <c r="E314" s="68" t="s">
        <v>320</v>
      </c>
      <c r="F314" s="60"/>
      <c r="G314" s="42" t="s">
        <v>106</v>
      </c>
      <c r="H314" s="87">
        <v>111000</v>
      </c>
      <c r="I314" s="60"/>
      <c r="J314" s="41">
        <v>999000</v>
      </c>
      <c r="K314" s="29"/>
      <c r="L314" s="83"/>
      <c r="M314" s="60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4.5">
      <c r="A315" s="68" t="s">
        <v>107</v>
      </c>
      <c r="B315" s="60"/>
      <c r="C315" s="60"/>
      <c r="D315" s="72" t="s">
        <v>108</v>
      </c>
      <c r="E315" s="60"/>
      <c r="F315" s="60"/>
      <c r="G315" s="29"/>
      <c r="H315" s="29"/>
      <c r="I315" s="30"/>
      <c r="J315" s="41">
        <v>3133000</v>
      </c>
      <c r="K315" s="29"/>
      <c r="L315" s="82" t="s">
        <v>56</v>
      </c>
      <c r="M315" s="60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4.5">
      <c r="A316" s="29"/>
      <c r="B316" s="29"/>
      <c r="C316" s="29"/>
      <c r="D316" s="68" t="s">
        <v>57</v>
      </c>
      <c r="E316" s="60"/>
      <c r="F316" s="60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4.5">
      <c r="A317" s="29"/>
      <c r="B317" s="29"/>
      <c r="C317" s="29"/>
      <c r="D317" s="35" t="s">
        <v>58</v>
      </c>
      <c r="E317" s="68" t="s">
        <v>321</v>
      </c>
      <c r="F317" s="60"/>
      <c r="G317" s="42" t="s">
        <v>322</v>
      </c>
      <c r="H317" s="87">
        <v>600</v>
      </c>
      <c r="I317" s="60"/>
      <c r="J317" s="41">
        <v>383000</v>
      </c>
      <c r="K317" s="29"/>
      <c r="L317" s="83"/>
      <c r="M317" s="60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4.5">
      <c r="A318" s="29"/>
      <c r="B318" s="29"/>
      <c r="C318" s="29"/>
      <c r="D318" s="35" t="s">
        <v>58</v>
      </c>
      <c r="E318" s="68" t="s">
        <v>323</v>
      </c>
      <c r="F318" s="60"/>
      <c r="G318" s="42" t="s">
        <v>324</v>
      </c>
      <c r="H318" s="87">
        <v>458433</v>
      </c>
      <c r="I318" s="60"/>
      <c r="J318" s="41">
        <v>1375000</v>
      </c>
      <c r="K318" s="29"/>
      <c r="L318" s="83"/>
      <c r="M318" s="60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4.5">
      <c r="A319" s="29"/>
      <c r="B319" s="29"/>
      <c r="C319" s="29"/>
      <c r="D319" s="35" t="s">
        <v>58</v>
      </c>
      <c r="E319" s="68" t="s">
        <v>325</v>
      </c>
      <c r="F319" s="60"/>
      <c r="G319" s="42" t="s">
        <v>324</v>
      </c>
      <c r="H319" s="87">
        <v>458433</v>
      </c>
      <c r="I319" s="60"/>
      <c r="J319" s="41">
        <v>1375000</v>
      </c>
      <c r="K319" s="29"/>
      <c r="L319" s="83"/>
      <c r="M319" s="60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4.5">
      <c r="A320" s="68" t="s">
        <v>54</v>
      </c>
      <c r="B320" s="60"/>
      <c r="C320" s="60"/>
      <c r="D320" s="72" t="s">
        <v>55</v>
      </c>
      <c r="E320" s="60"/>
      <c r="F320" s="60"/>
      <c r="G320" s="29"/>
      <c r="H320" s="29"/>
      <c r="I320" s="30"/>
      <c r="J320" s="41">
        <v>3740000</v>
      </c>
      <c r="K320" s="29"/>
      <c r="L320" s="82" t="s">
        <v>56</v>
      </c>
      <c r="M320" s="60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4.5">
      <c r="A321" s="29"/>
      <c r="B321" s="29"/>
      <c r="C321" s="29"/>
      <c r="D321" s="68" t="s">
        <v>57</v>
      </c>
      <c r="E321" s="60"/>
      <c r="F321" s="60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4.5">
      <c r="A322" s="29"/>
      <c r="B322" s="29"/>
      <c r="C322" s="29"/>
      <c r="D322" s="35" t="s">
        <v>58</v>
      </c>
      <c r="E322" s="68" t="s">
        <v>326</v>
      </c>
      <c r="F322" s="60"/>
      <c r="G322" s="42" t="s">
        <v>104</v>
      </c>
      <c r="H322" s="87">
        <v>170000</v>
      </c>
      <c r="I322" s="60"/>
      <c r="J322" s="41">
        <v>1360000</v>
      </c>
      <c r="K322" s="29"/>
      <c r="L322" s="83"/>
      <c r="M322" s="60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4.5">
      <c r="A323" s="29"/>
      <c r="B323" s="29"/>
      <c r="C323" s="29"/>
      <c r="D323" s="35" t="s">
        <v>58</v>
      </c>
      <c r="E323" s="68" t="s">
        <v>327</v>
      </c>
      <c r="F323" s="60"/>
      <c r="G323" s="42" t="s">
        <v>328</v>
      </c>
      <c r="H323" s="87">
        <v>170000</v>
      </c>
      <c r="I323" s="60"/>
      <c r="J323" s="41">
        <v>2380000</v>
      </c>
      <c r="K323" s="29"/>
      <c r="L323" s="83"/>
      <c r="M323" s="60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4.5">
      <c r="A324" s="69" t="s">
        <v>48</v>
      </c>
      <c r="B324" s="60"/>
      <c r="C324" s="60"/>
      <c r="D324" s="69" t="s">
        <v>49</v>
      </c>
      <c r="E324" s="60"/>
      <c r="F324" s="60"/>
      <c r="G324" s="38" t="s">
        <v>50</v>
      </c>
      <c r="H324" s="29"/>
      <c r="I324" s="30"/>
      <c r="J324" s="37">
        <v>450000</v>
      </c>
      <c r="K324" s="39" t="s">
        <v>51</v>
      </c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4.5">
      <c r="A325" s="67" t="s">
        <v>52</v>
      </c>
      <c r="B325" s="60"/>
      <c r="C325" s="60"/>
      <c r="D325" s="67" t="s">
        <v>53</v>
      </c>
      <c r="E325" s="60"/>
      <c r="F325" s="60"/>
      <c r="G325" s="29"/>
      <c r="H325" s="29"/>
      <c r="I325" s="30"/>
      <c r="J325" s="40">
        <v>450000</v>
      </c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4.5">
      <c r="A326" s="68" t="s">
        <v>101</v>
      </c>
      <c r="B326" s="60"/>
      <c r="C326" s="60"/>
      <c r="D326" s="72" t="s">
        <v>102</v>
      </c>
      <c r="E326" s="60"/>
      <c r="F326" s="60"/>
      <c r="G326" s="29"/>
      <c r="H326" s="29"/>
      <c r="I326" s="30"/>
      <c r="J326" s="41">
        <v>50000</v>
      </c>
      <c r="K326" s="29"/>
      <c r="L326" s="82" t="s">
        <v>56</v>
      </c>
      <c r="M326" s="60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4.5">
      <c r="A327" s="29"/>
      <c r="B327" s="29"/>
      <c r="C327" s="29"/>
      <c r="D327" s="68" t="s">
        <v>57</v>
      </c>
      <c r="E327" s="60"/>
      <c r="F327" s="60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4.5">
      <c r="A328" s="29"/>
      <c r="B328" s="29"/>
      <c r="C328" s="29"/>
      <c r="D328" s="35" t="s">
        <v>58</v>
      </c>
      <c r="E328" s="68" t="s">
        <v>329</v>
      </c>
      <c r="F328" s="60"/>
      <c r="G328" s="42" t="s">
        <v>201</v>
      </c>
      <c r="H328" s="87">
        <v>50000</v>
      </c>
      <c r="I328" s="60"/>
      <c r="J328" s="41">
        <v>50000</v>
      </c>
      <c r="K328" s="29"/>
      <c r="L328" s="83"/>
      <c r="M328" s="60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4.5">
      <c r="A329" s="68" t="s">
        <v>54</v>
      </c>
      <c r="B329" s="60"/>
      <c r="C329" s="60"/>
      <c r="D329" s="72" t="s">
        <v>55</v>
      </c>
      <c r="E329" s="60"/>
      <c r="F329" s="60"/>
      <c r="G329" s="29"/>
      <c r="H329" s="29"/>
      <c r="I329" s="30"/>
      <c r="J329" s="41">
        <v>400000</v>
      </c>
      <c r="K329" s="29"/>
      <c r="L329" s="82" t="s">
        <v>56</v>
      </c>
      <c r="M329" s="60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4.5">
      <c r="A330" s="29"/>
      <c r="B330" s="29"/>
      <c r="C330" s="29"/>
      <c r="D330" s="68" t="s">
        <v>57</v>
      </c>
      <c r="E330" s="60"/>
      <c r="F330" s="60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4.5">
      <c r="A331" s="29"/>
      <c r="B331" s="29"/>
      <c r="C331" s="29"/>
      <c r="D331" s="35" t="s">
        <v>58</v>
      </c>
      <c r="E331" s="68" t="s">
        <v>330</v>
      </c>
      <c r="F331" s="60"/>
      <c r="G331" s="42" t="s">
        <v>118</v>
      </c>
      <c r="H331" s="87">
        <v>200000</v>
      </c>
      <c r="I331" s="60"/>
      <c r="J331" s="41">
        <v>200000</v>
      </c>
      <c r="K331" s="29"/>
      <c r="L331" s="83"/>
      <c r="M331" s="60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4.5">
      <c r="A332" s="29"/>
      <c r="B332" s="29"/>
      <c r="C332" s="29"/>
      <c r="D332" s="35" t="s">
        <v>58</v>
      </c>
      <c r="E332" s="68" t="s">
        <v>331</v>
      </c>
      <c r="F332" s="60"/>
      <c r="G332" s="42" t="s">
        <v>118</v>
      </c>
      <c r="H332" s="87">
        <v>200000</v>
      </c>
      <c r="I332" s="60"/>
      <c r="J332" s="41">
        <v>200000</v>
      </c>
      <c r="K332" s="29"/>
      <c r="L332" s="83"/>
      <c r="M332" s="60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4.5">
      <c r="A333" s="70" t="s">
        <v>332</v>
      </c>
      <c r="B333" s="60"/>
      <c r="C333" s="60"/>
      <c r="D333" s="70" t="s">
        <v>333</v>
      </c>
      <c r="E333" s="60"/>
      <c r="F333" s="60"/>
      <c r="G333" s="29"/>
      <c r="H333" s="29"/>
      <c r="I333" s="30"/>
      <c r="J333" s="32">
        <v>51123000</v>
      </c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7.5">
      <c r="A334" s="71" t="s">
        <v>334</v>
      </c>
      <c r="B334" s="60"/>
      <c r="C334" s="60"/>
      <c r="D334" s="71" t="s">
        <v>42</v>
      </c>
      <c r="E334" s="60"/>
      <c r="F334" s="60"/>
      <c r="G334" s="33" t="s">
        <v>84</v>
      </c>
      <c r="H334" s="29"/>
      <c r="I334" s="30"/>
      <c r="J334" s="34">
        <v>51123000</v>
      </c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4.5">
      <c r="A335" s="29"/>
      <c r="B335" s="29"/>
      <c r="C335" s="29"/>
      <c r="D335" s="68" t="s">
        <v>44</v>
      </c>
      <c r="E335" s="60"/>
      <c r="F335" s="60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4.5">
      <c r="A336" s="69" t="s">
        <v>335</v>
      </c>
      <c r="B336" s="60"/>
      <c r="C336" s="60"/>
      <c r="D336" s="69" t="s">
        <v>336</v>
      </c>
      <c r="E336" s="60"/>
      <c r="F336" s="60"/>
      <c r="G336" s="36" t="s">
        <v>87</v>
      </c>
      <c r="H336" s="29"/>
      <c r="I336" s="30"/>
      <c r="J336" s="37">
        <v>51123000</v>
      </c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4.5">
      <c r="A337" s="69" t="s">
        <v>88</v>
      </c>
      <c r="B337" s="60"/>
      <c r="C337" s="60"/>
      <c r="D337" s="69" t="s">
        <v>89</v>
      </c>
      <c r="E337" s="60"/>
      <c r="F337" s="60"/>
      <c r="G337" s="38" t="s">
        <v>50</v>
      </c>
      <c r="H337" s="29"/>
      <c r="I337" s="30"/>
      <c r="J337" s="37">
        <v>44283000</v>
      </c>
      <c r="K337" s="39" t="s">
        <v>51</v>
      </c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4.5">
      <c r="A338" s="67" t="s">
        <v>52</v>
      </c>
      <c r="B338" s="60"/>
      <c r="C338" s="60"/>
      <c r="D338" s="67" t="s">
        <v>53</v>
      </c>
      <c r="E338" s="60"/>
      <c r="F338" s="60"/>
      <c r="G338" s="29"/>
      <c r="H338" s="29"/>
      <c r="I338" s="30"/>
      <c r="J338" s="40">
        <v>44283000</v>
      </c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4.5">
      <c r="A339" s="68" t="s">
        <v>90</v>
      </c>
      <c r="B339" s="60"/>
      <c r="C339" s="60"/>
      <c r="D339" s="72" t="s">
        <v>91</v>
      </c>
      <c r="E339" s="60"/>
      <c r="F339" s="60"/>
      <c r="G339" s="29"/>
      <c r="H339" s="29"/>
      <c r="I339" s="30"/>
      <c r="J339" s="41">
        <v>39353000</v>
      </c>
      <c r="K339" s="29"/>
      <c r="L339" s="82" t="s">
        <v>56</v>
      </c>
      <c r="M339" s="60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4.5">
      <c r="A340" s="29"/>
      <c r="B340" s="29"/>
      <c r="C340" s="29"/>
      <c r="D340" s="68" t="s">
        <v>57</v>
      </c>
      <c r="E340" s="60"/>
      <c r="F340" s="60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4.5">
      <c r="A341" s="29"/>
      <c r="B341" s="29"/>
      <c r="C341" s="29"/>
      <c r="D341" s="35" t="s">
        <v>58</v>
      </c>
      <c r="E341" s="68" t="s">
        <v>337</v>
      </c>
      <c r="F341" s="60"/>
      <c r="G341" s="42" t="s">
        <v>338</v>
      </c>
      <c r="H341" s="87">
        <v>232000</v>
      </c>
      <c r="I341" s="60"/>
      <c r="J341" s="41">
        <v>6728000</v>
      </c>
      <c r="K341" s="29"/>
      <c r="L341" s="83"/>
      <c r="M341" s="60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4.5">
      <c r="A342" s="29"/>
      <c r="B342" s="29"/>
      <c r="C342" s="29"/>
      <c r="D342" s="35" t="s">
        <v>58</v>
      </c>
      <c r="E342" s="68" t="s">
        <v>339</v>
      </c>
      <c r="F342" s="60"/>
      <c r="G342" s="42" t="s">
        <v>340</v>
      </c>
      <c r="H342" s="87">
        <v>232000</v>
      </c>
      <c r="I342" s="60"/>
      <c r="J342" s="41">
        <v>3016000</v>
      </c>
      <c r="K342" s="29"/>
      <c r="L342" s="83"/>
      <c r="M342" s="60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4.5">
      <c r="A343" s="29"/>
      <c r="B343" s="29"/>
      <c r="C343" s="29"/>
      <c r="D343" s="35" t="s">
        <v>58</v>
      </c>
      <c r="E343" s="68" t="s">
        <v>341</v>
      </c>
      <c r="F343" s="60"/>
      <c r="G343" s="42" t="s">
        <v>342</v>
      </c>
      <c r="H343" s="87">
        <v>46000</v>
      </c>
      <c r="I343" s="60"/>
      <c r="J343" s="41">
        <v>46000</v>
      </c>
      <c r="K343" s="29"/>
      <c r="L343" s="83"/>
      <c r="M343" s="60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4.5">
      <c r="A344" s="29"/>
      <c r="B344" s="29"/>
      <c r="C344" s="29"/>
      <c r="D344" s="35" t="s">
        <v>58</v>
      </c>
      <c r="E344" s="68" t="s">
        <v>343</v>
      </c>
      <c r="F344" s="60"/>
      <c r="G344" s="42" t="s">
        <v>344</v>
      </c>
      <c r="H344" s="87">
        <v>53000</v>
      </c>
      <c r="I344" s="60"/>
      <c r="J344" s="41">
        <v>10282000</v>
      </c>
      <c r="K344" s="29"/>
      <c r="L344" s="83"/>
      <c r="M344" s="60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4.5">
      <c r="A345" s="29"/>
      <c r="B345" s="29"/>
      <c r="C345" s="29"/>
      <c r="D345" s="35" t="s">
        <v>58</v>
      </c>
      <c r="E345" s="68" t="s">
        <v>345</v>
      </c>
      <c r="F345" s="60"/>
      <c r="G345" s="42" t="s">
        <v>346</v>
      </c>
      <c r="H345" s="87">
        <v>53000</v>
      </c>
      <c r="I345" s="60"/>
      <c r="J345" s="41">
        <v>13038000</v>
      </c>
      <c r="K345" s="29"/>
      <c r="L345" s="83"/>
      <c r="M345" s="60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4.5">
      <c r="A346" s="29"/>
      <c r="B346" s="29"/>
      <c r="C346" s="29"/>
      <c r="D346" s="35" t="s">
        <v>58</v>
      </c>
      <c r="E346" s="68" t="s">
        <v>347</v>
      </c>
      <c r="F346" s="60"/>
      <c r="G346" s="42" t="s">
        <v>348</v>
      </c>
      <c r="H346" s="87">
        <v>53000</v>
      </c>
      <c r="I346" s="60"/>
      <c r="J346" s="41">
        <v>1749000</v>
      </c>
      <c r="K346" s="29"/>
      <c r="L346" s="83"/>
      <c r="M346" s="60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4.5">
      <c r="A347" s="29"/>
      <c r="B347" s="29"/>
      <c r="C347" s="29"/>
      <c r="D347" s="35" t="s">
        <v>58</v>
      </c>
      <c r="E347" s="68" t="s">
        <v>349</v>
      </c>
      <c r="F347" s="60"/>
      <c r="G347" s="42" t="s">
        <v>350</v>
      </c>
      <c r="H347" s="87">
        <v>75000</v>
      </c>
      <c r="I347" s="60"/>
      <c r="J347" s="41">
        <v>1050000</v>
      </c>
      <c r="K347" s="29"/>
      <c r="L347" s="83"/>
      <c r="M347" s="60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4.5">
      <c r="A348" s="29"/>
      <c r="B348" s="29"/>
      <c r="C348" s="29"/>
      <c r="D348" s="35" t="s">
        <v>58</v>
      </c>
      <c r="E348" s="68" t="s">
        <v>351</v>
      </c>
      <c r="F348" s="60"/>
      <c r="G348" s="42" t="s">
        <v>352</v>
      </c>
      <c r="H348" s="87">
        <v>66000</v>
      </c>
      <c r="I348" s="60"/>
      <c r="J348" s="41">
        <v>726000</v>
      </c>
      <c r="K348" s="29"/>
      <c r="L348" s="83"/>
      <c r="M348" s="60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4.5">
      <c r="A349" s="29"/>
      <c r="B349" s="29"/>
      <c r="C349" s="29"/>
      <c r="D349" s="35" t="s">
        <v>58</v>
      </c>
      <c r="E349" s="68" t="s">
        <v>353</v>
      </c>
      <c r="F349" s="60"/>
      <c r="G349" s="42" t="s">
        <v>342</v>
      </c>
      <c r="H349" s="87">
        <v>53000</v>
      </c>
      <c r="I349" s="60"/>
      <c r="J349" s="41">
        <v>53000</v>
      </c>
      <c r="K349" s="29"/>
      <c r="L349" s="83"/>
      <c r="M349" s="60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4.5">
      <c r="A350" s="29"/>
      <c r="B350" s="29"/>
      <c r="C350" s="29"/>
      <c r="D350" s="35" t="s">
        <v>58</v>
      </c>
      <c r="E350" s="68" t="s">
        <v>354</v>
      </c>
      <c r="F350" s="60"/>
      <c r="G350" s="42" t="s">
        <v>342</v>
      </c>
      <c r="H350" s="87">
        <v>91000</v>
      </c>
      <c r="I350" s="60"/>
      <c r="J350" s="41">
        <v>91000</v>
      </c>
      <c r="K350" s="29"/>
      <c r="L350" s="83"/>
      <c r="M350" s="60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4.5">
      <c r="A351" s="29"/>
      <c r="B351" s="29"/>
      <c r="C351" s="29"/>
      <c r="D351" s="35" t="s">
        <v>58</v>
      </c>
      <c r="E351" s="68" t="s">
        <v>355</v>
      </c>
      <c r="F351" s="60"/>
      <c r="G351" s="42" t="s">
        <v>356</v>
      </c>
      <c r="H351" s="87">
        <v>66000</v>
      </c>
      <c r="I351" s="60"/>
      <c r="J351" s="41">
        <v>132000</v>
      </c>
      <c r="K351" s="29"/>
      <c r="L351" s="83"/>
      <c r="M351" s="60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4.5">
      <c r="A352" s="29"/>
      <c r="B352" s="29"/>
      <c r="C352" s="29"/>
      <c r="D352" s="35" t="s">
        <v>58</v>
      </c>
      <c r="E352" s="68" t="s">
        <v>357</v>
      </c>
      <c r="F352" s="60"/>
      <c r="G352" s="42" t="s">
        <v>358</v>
      </c>
      <c r="H352" s="87">
        <v>44000</v>
      </c>
      <c r="I352" s="60"/>
      <c r="J352" s="41">
        <v>176000</v>
      </c>
      <c r="K352" s="29"/>
      <c r="L352" s="83"/>
      <c r="M352" s="60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4.5">
      <c r="A353" s="29"/>
      <c r="B353" s="29"/>
      <c r="C353" s="29"/>
      <c r="D353" s="35" t="s">
        <v>58</v>
      </c>
      <c r="E353" s="68" t="s">
        <v>359</v>
      </c>
      <c r="F353" s="60"/>
      <c r="G353" s="42" t="s">
        <v>342</v>
      </c>
      <c r="H353" s="87">
        <v>66000</v>
      </c>
      <c r="I353" s="60"/>
      <c r="J353" s="41">
        <v>66000</v>
      </c>
      <c r="K353" s="29"/>
      <c r="L353" s="83"/>
      <c r="M353" s="60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4.5">
      <c r="A354" s="29"/>
      <c r="B354" s="29"/>
      <c r="C354" s="29"/>
      <c r="D354" s="35" t="s">
        <v>58</v>
      </c>
      <c r="E354" s="68" t="s">
        <v>360</v>
      </c>
      <c r="F354" s="60"/>
      <c r="G354" s="42" t="s">
        <v>344</v>
      </c>
      <c r="H354" s="87">
        <v>11000</v>
      </c>
      <c r="I354" s="60"/>
      <c r="J354" s="41">
        <v>2134000</v>
      </c>
      <c r="K354" s="29"/>
      <c r="L354" s="83"/>
      <c r="M354" s="60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4.5">
      <c r="A355" s="29"/>
      <c r="B355" s="29"/>
      <c r="C355" s="29"/>
      <c r="D355" s="35" t="s">
        <v>58</v>
      </c>
      <c r="E355" s="68" t="s">
        <v>361</v>
      </c>
      <c r="F355" s="60"/>
      <c r="G355" s="42" t="s">
        <v>342</v>
      </c>
      <c r="H355" s="87">
        <v>11000</v>
      </c>
      <c r="I355" s="60"/>
      <c r="J355" s="41">
        <v>11000</v>
      </c>
      <c r="K355" s="29"/>
      <c r="L355" s="83"/>
      <c r="M355" s="60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4.5">
      <c r="A356" s="29"/>
      <c r="B356" s="29"/>
      <c r="C356" s="29"/>
      <c r="D356" s="35" t="s">
        <v>58</v>
      </c>
      <c r="E356" s="68" t="s">
        <v>362</v>
      </c>
      <c r="F356" s="60"/>
      <c r="G356" s="42" t="s">
        <v>342</v>
      </c>
      <c r="H356" s="87">
        <v>19000</v>
      </c>
      <c r="I356" s="60"/>
      <c r="J356" s="41">
        <v>19000</v>
      </c>
      <c r="K356" s="29"/>
      <c r="L356" s="83"/>
      <c r="M356" s="60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4.5">
      <c r="A357" s="29"/>
      <c r="B357" s="29"/>
      <c r="C357" s="29"/>
      <c r="D357" s="35" t="s">
        <v>58</v>
      </c>
      <c r="E357" s="68" t="s">
        <v>363</v>
      </c>
      <c r="F357" s="60"/>
      <c r="G357" s="42" t="s">
        <v>358</v>
      </c>
      <c r="H357" s="87">
        <v>9000</v>
      </c>
      <c r="I357" s="60"/>
      <c r="J357" s="41">
        <v>36000</v>
      </c>
      <c r="K357" s="29"/>
      <c r="L357" s="83"/>
      <c r="M357" s="60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4.5">
      <c r="A358" s="68" t="s">
        <v>54</v>
      </c>
      <c r="B358" s="60"/>
      <c r="C358" s="60"/>
      <c r="D358" s="72" t="s">
        <v>55</v>
      </c>
      <c r="E358" s="60"/>
      <c r="F358" s="60"/>
      <c r="G358" s="29"/>
      <c r="H358" s="29"/>
      <c r="I358" s="30"/>
      <c r="J358" s="41">
        <v>4930000</v>
      </c>
      <c r="K358" s="29"/>
      <c r="L358" s="82" t="s">
        <v>56</v>
      </c>
      <c r="M358" s="60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4.5">
      <c r="A359" s="29"/>
      <c r="B359" s="29"/>
      <c r="C359" s="29"/>
      <c r="D359" s="68" t="s">
        <v>57</v>
      </c>
      <c r="E359" s="60"/>
      <c r="F359" s="60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4.5">
      <c r="A360" s="29"/>
      <c r="B360" s="29"/>
      <c r="C360" s="29"/>
      <c r="D360" s="35" t="s">
        <v>58</v>
      </c>
      <c r="E360" s="68" t="s">
        <v>364</v>
      </c>
      <c r="F360" s="60"/>
      <c r="G360" s="42" t="s">
        <v>365</v>
      </c>
      <c r="H360" s="87">
        <v>170000</v>
      </c>
      <c r="I360" s="60"/>
      <c r="J360" s="41">
        <v>680000</v>
      </c>
      <c r="K360" s="29"/>
      <c r="L360" s="83"/>
      <c r="M360" s="60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4.5">
      <c r="A361" s="29"/>
      <c r="B361" s="29"/>
      <c r="C361" s="29"/>
      <c r="D361" s="35" t="s">
        <v>58</v>
      </c>
      <c r="E361" s="68" t="s">
        <v>366</v>
      </c>
      <c r="F361" s="60"/>
      <c r="G361" s="42" t="s">
        <v>97</v>
      </c>
      <c r="H361" s="87">
        <v>170000</v>
      </c>
      <c r="I361" s="60"/>
      <c r="J361" s="41">
        <v>340000</v>
      </c>
      <c r="K361" s="29"/>
      <c r="L361" s="83"/>
      <c r="M361" s="60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4.5">
      <c r="A362" s="29"/>
      <c r="B362" s="29"/>
      <c r="C362" s="29"/>
      <c r="D362" s="35" t="s">
        <v>58</v>
      </c>
      <c r="E362" s="68" t="s">
        <v>367</v>
      </c>
      <c r="F362" s="60"/>
      <c r="G362" s="42" t="s">
        <v>60</v>
      </c>
      <c r="H362" s="87">
        <v>170000</v>
      </c>
      <c r="I362" s="60"/>
      <c r="J362" s="41">
        <v>170000</v>
      </c>
      <c r="K362" s="29"/>
      <c r="L362" s="83"/>
      <c r="M362" s="60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4.5">
      <c r="A363" s="29"/>
      <c r="B363" s="29"/>
      <c r="C363" s="29"/>
      <c r="D363" s="35" t="s">
        <v>58</v>
      </c>
      <c r="E363" s="68" t="s">
        <v>368</v>
      </c>
      <c r="F363" s="60"/>
      <c r="G363" s="42" t="s">
        <v>112</v>
      </c>
      <c r="H363" s="87">
        <v>170000</v>
      </c>
      <c r="I363" s="60"/>
      <c r="J363" s="41">
        <v>1020000</v>
      </c>
      <c r="K363" s="29"/>
      <c r="L363" s="83"/>
      <c r="M363" s="60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4.5">
      <c r="A364" s="29"/>
      <c r="B364" s="29"/>
      <c r="C364" s="29"/>
      <c r="D364" s="35" t="s">
        <v>58</v>
      </c>
      <c r="E364" s="68" t="s">
        <v>369</v>
      </c>
      <c r="F364" s="60"/>
      <c r="G364" s="42" t="s">
        <v>104</v>
      </c>
      <c r="H364" s="87">
        <v>170000</v>
      </c>
      <c r="I364" s="60"/>
      <c r="J364" s="41">
        <v>1360000</v>
      </c>
      <c r="K364" s="29"/>
      <c r="L364" s="83"/>
      <c r="M364" s="60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4.5">
      <c r="A365" s="29"/>
      <c r="B365" s="29"/>
      <c r="C365" s="29"/>
      <c r="D365" s="35" t="s">
        <v>58</v>
      </c>
      <c r="E365" s="68" t="s">
        <v>370</v>
      </c>
      <c r="F365" s="60"/>
      <c r="G365" s="42" t="s">
        <v>60</v>
      </c>
      <c r="H365" s="87">
        <v>170000</v>
      </c>
      <c r="I365" s="60"/>
      <c r="J365" s="41">
        <v>170000</v>
      </c>
      <c r="K365" s="29"/>
      <c r="L365" s="83"/>
      <c r="M365" s="60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4.5">
      <c r="A366" s="29"/>
      <c r="B366" s="29"/>
      <c r="C366" s="29"/>
      <c r="D366" s="35" t="s">
        <v>58</v>
      </c>
      <c r="E366" s="68" t="s">
        <v>371</v>
      </c>
      <c r="F366" s="60"/>
      <c r="G366" s="42" t="s">
        <v>60</v>
      </c>
      <c r="H366" s="87">
        <v>170000</v>
      </c>
      <c r="I366" s="60"/>
      <c r="J366" s="41">
        <v>170000</v>
      </c>
      <c r="K366" s="29"/>
      <c r="L366" s="83"/>
      <c r="M366" s="60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4.5">
      <c r="A367" s="29"/>
      <c r="B367" s="29"/>
      <c r="C367" s="29"/>
      <c r="D367" s="35" t="s">
        <v>58</v>
      </c>
      <c r="E367" s="68" t="s">
        <v>372</v>
      </c>
      <c r="F367" s="60"/>
      <c r="G367" s="42" t="s">
        <v>60</v>
      </c>
      <c r="H367" s="87">
        <v>170000</v>
      </c>
      <c r="I367" s="60"/>
      <c r="J367" s="41">
        <v>170000</v>
      </c>
      <c r="K367" s="29"/>
      <c r="L367" s="83"/>
      <c r="M367" s="60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4.5">
      <c r="A368" s="29"/>
      <c r="B368" s="29"/>
      <c r="C368" s="29"/>
      <c r="D368" s="35" t="s">
        <v>58</v>
      </c>
      <c r="E368" s="68" t="s">
        <v>373</v>
      </c>
      <c r="F368" s="60"/>
      <c r="G368" s="42" t="s">
        <v>60</v>
      </c>
      <c r="H368" s="87">
        <v>170000</v>
      </c>
      <c r="I368" s="60"/>
      <c r="J368" s="41">
        <v>170000</v>
      </c>
      <c r="K368" s="29"/>
      <c r="L368" s="83"/>
      <c r="M368" s="60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4.5">
      <c r="A369" s="29"/>
      <c r="B369" s="29"/>
      <c r="C369" s="29"/>
      <c r="D369" s="35" t="s">
        <v>58</v>
      </c>
      <c r="E369" s="68" t="s">
        <v>374</v>
      </c>
      <c r="F369" s="60"/>
      <c r="G369" s="42" t="s">
        <v>60</v>
      </c>
      <c r="H369" s="87">
        <v>170000</v>
      </c>
      <c r="I369" s="60"/>
      <c r="J369" s="41">
        <v>170000</v>
      </c>
      <c r="K369" s="29"/>
      <c r="L369" s="83"/>
      <c r="M369" s="60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4.5">
      <c r="A370" s="29"/>
      <c r="B370" s="29"/>
      <c r="C370" s="29"/>
      <c r="D370" s="35" t="s">
        <v>58</v>
      </c>
      <c r="E370" s="68" t="s">
        <v>375</v>
      </c>
      <c r="F370" s="60"/>
      <c r="G370" s="42" t="s">
        <v>60</v>
      </c>
      <c r="H370" s="87">
        <v>170000</v>
      </c>
      <c r="I370" s="60"/>
      <c r="J370" s="41">
        <v>170000</v>
      </c>
      <c r="K370" s="29"/>
      <c r="L370" s="83"/>
      <c r="M370" s="60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4.5">
      <c r="A371" s="29"/>
      <c r="B371" s="29"/>
      <c r="C371" s="29"/>
      <c r="D371" s="35" t="s">
        <v>58</v>
      </c>
      <c r="E371" s="68" t="s">
        <v>376</v>
      </c>
      <c r="F371" s="60"/>
      <c r="G371" s="42" t="s">
        <v>60</v>
      </c>
      <c r="H371" s="87">
        <v>170000</v>
      </c>
      <c r="I371" s="60"/>
      <c r="J371" s="41">
        <v>170000</v>
      </c>
      <c r="K371" s="29"/>
      <c r="L371" s="83"/>
      <c r="M371" s="60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4.5">
      <c r="A372" s="29"/>
      <c r="B372" s="29"/>
      <c r="C372" s="29"/>
      <c r="D372" s="35" t="s">
        <v>58</v>
      </c>
      <c r="E372" s="68" t="s">
        <v>377</v>
      </c>
      <c r="F372" s="60"/>
      <c r="G372" s="42" t="s">
        <v>60</v>
      </c>
      <c r="H372" s="87">
        <v>170000</v>
      </c>
      <c r="I372" s="60"/>
      <c r="J372" s="41">
        <v>170000</v>
      </c>
      <c r="K372" s="29"/>
      <c r="L372" s="83"/>
      <c r="M372" s="60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4.5">
      <c r="A373" s="69" t="s">
        <v>99</v>
      </c>
      <c r="B373" s="60"/>
      <c r="C373" s="60"/>
      <c r="D373" s="69" t="s">
        <v>100</v>
      </c>
      <c r="E373" s="60"/>
      <c r="F373" s="60"/>
      <c r="G373" s="38" t="s">
        <v>50</v>
      </c>
      <c r="H373" s="29"/>
      <c r="I373" s="30"/>
      <c r="J373" s="37">
        <v>3900000</v>
      </c>
      <c r="K373" s="39" t="s">
        <v>51</v>
      </c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4.5">
      <c r="A374" s="67" t="s">
        <v>52</v>
      </c>
      <c r="B374" s="60"/>
      <c r="C374" s="60"/>
      <c r="D374" s="67" t="s">
        <v>53</v>
      </c>
      <c r="E374" s="60"/>
      <c r="F374" s="60"/>
      <c r="G374" s="29"/>
      <c r="H374" s="29"/>
      <c r="I374" s="30"/>
      <c r="J374" s="40">
        <v>3900000</v>
      </c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4.5">
      <c r="A375" s="68" t="s">
        <v>101</v>
      </c>
      <c r="B375" s="60"/>
      <c r="C375" s="60"/>
      <c r="D375" s="72" t="s">
        <v>102</v>
      </c>
      <c r="E375" s="60"/>
      <c r="F375" s="60"/>
      <c r="G375" s="29"/>
      <c r="H375" s="29"/>
      <c r="I375" s="30"/>
      <c r="J375" s="41">
        <v>881000</v>
      </c>
      <c r="K375" s="29"/>
      <c r="L375" s="82" t="s">
        <v>56</v>
      </c>
      <c r="M375" s="60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4.5">
      <c r="A376" s="29"/>
      <c r="B376" s="29"/>
      <c r="C376" s="29"/>
      <c r="D376" s="68" t="s">
        <v>57</v>
      </c>
      <c r="E376" s="60"/>
      <c r="F376" s="60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4.5">
      <c r="A377" s="29"/>
      <c r="B377" s="29"/>
      <c r="C377" s="29"/>
      <c r="D377" s="35" t="s">
        <v>58</v>
      </c>
      <c r="E377" s="68" t="s">
        <v>378</v>
      </c>
      <c r="F377" s="60"/>
      <c r="G377" s="42" t="s">
        <v>137</v>
      </c>
      <c r="H377" s="87">
        <v>83000</v>
      </c>
      <c r="I377" s="60"/>
      <c r="J377" s="41">
        <v>581000</v>
      </c>
      <c r="K377" s="29"/>
      <c r="L377" s="83"/>
      <c r="M377" s="60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4.5">
      <c r="A378" s="29"/>
      <c r="B378" s="29"/>
      <c r="C378" s="29"/>
      <c r="D378" s="35" t="s">
        <v>58</v>
      </c>
      <c r="E378" s="68" t="s">
        <v>379</v>
      </c>
      <c r="F378" s="60"/>
      <c r="G378" s="42" t="s">
        <v>380</v>
      </c>
      <c r="H378" s="87">
        <v>50000</v>
      </c>
      <c r="I378" s="60"/>
      <c r="J378" s="41">
        <v>300000</v>
      </c>
      <c r="K378" s="29"/>
      <c r="L378" s="83"/>
      <c r="M378" s="60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4.5">
      <c r="A379" s="68" t="s">
        <v>90</v>
      </c>
      <c r="B379" s="60"/>
      <c r="C379" s="60"/>
      <c r="D379" s="72" t="s">
        <v>91</v>
      </c>
      <c r="E379" s="60"/>
      <c r="F379" s="60"/>
      <c r="G379" s="29"/>
      <c r="H379" s="29"/>
      <c r="I379" s="30"/>
      <c r="J379" s="41">
        <v>999000</v>
      </c>
      <c r="K379" s="29"/>
      <c r="L379" s="82" t="s">
        <v>56</v>
      </c>
      <c r="M379" s="60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4.5">
      <c r="A380" s="29"/>
      <c r="B380" s="29"/>
      <c r="C380" s="29"/>
      <c r="D380" s="68" t="s">
        <v>57</v>
      </c>
      <c r="E380" s="60"/>
      <c r="F380" s="60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4.5">
      <c r="A381" s="29"/>
      <c r="B381" s="29"/>
      <c r="C381" s="29"/>
      <c r="D381" s="35" t="s">
        <v>58</v>
      </c>
      <c r="E381" s="68" t="s">
        <v>381</v>
      </c>
      <c r="F381" s="60"/>
      <c r="G381" s="42" t="s">
        <v>106</v>
      </c>
      <c r="H381" s="87">
        <v>111000</v>
      </c>
      <c r="I381" s="60"/>
      <c r="J381" s="41">
        <v>999000</v>
      </c>
      <c r="K381" s="29"/>
      <c r="L381" s="83"/>
      <c r="M381" s="60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4.5">
      <c r="A382" s="68" t="s">
        <v>107</v>
      </c>
      <c r="B382" s="60"/>
      <c r="C382" s="60"/>
      <c r="D382" s="72" t="s">
        <v>108</v>
      </c>
      <c r="E382" s="60"/>
      <c r="F382" s="60"/>
      <c r="G382" s="29"/>
      <c r="H382" s="29"/>
      <c r="I382" s="30"/>
      <c r="J382" s="41">
        <v>1820000</v>
      </c>
      <c r="K382" s="29"/>
      <c r="L382" s="82" t="s">
        <v>56</v>
      </c>
      <c r="M382" s="60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4.5">
      <c r="A383" s="29"/>
      <c r="B383" s="29"/>
      <c r="C383" s="29"/>
      <c r="D383" s="68" t="s">
        <v>57</v>
      </c>
      <c r="E383" s="60"/>
      <c r="F383" s="60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4.5">
      <c r="A384" s="29"/>
      <c r="B384" s="29"/>
      <c r="C384" s="29"/>
      <c r="D384" s="35" t="s">
        <v>58</v>
      </c>
      <c r="E384" s="68" t="s">
        <v>382</v>
      </c>
      <c r="F384" s="60"/>
      <c r="G384" s="42" t="s">
        <v>383</v>
      </c>
      <c r="H384" s="87">
        <v>600</v>
      </c>
      <c r="I384" s="60"/>
      <c r="J384" s="41">
        <v>675000</v>
      </c>
      <c r="K384" s="29"/>
      <c r="L384" s="83"/>
      <c r="M384" s="60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4.5">
      <c r="A385" s="29"/>
      <c r="B385" s="29"/>
      <c r="C385" s="29"/>
      <c r="D385" s="35" t="s">
        <v>58</v>
      </c>
      <c r="E385" s="68" t="s">
        <v>384</v>
      </c>
      <c r="F385" s="60"/>
      <c r="G385" s="42" t="s">
        <v>385</v>
      </c>
      <c r="H385" s="87">
        <v>600</v>
      </c>
      <c r="I385" s="60"/>
      <c r="J385" s="41">
        <v>670000</v>
      </c>
      <c r="K385" s="29"/>
      <c r="L385" s="83"/>
      <c r="M385" s="60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4.5">
      <c r="A386" s="29"/>
      <c r="B386" s="29"/>
      <c r="C386" s="29"/>
      <c r="D386" s="35" t="s">
        <v>58</v>
      </c>
      <c r="E386" s="68" t="s">
        <v>386</v>
      </c>
      <c r="F386" s="60"/>
      <c r="G386" s="42" t="s">
        <v>387</v>
      </c>
      <c r="H386" s="87">
        <v>500</v>
      </c>
      <c r="I386" s="60"/>
      <c r="J386" s="41">
        <v>1000</v>
      </c>
      <c r="K386" s="29"/>
      <c r="L386" s="83"/>
      <c r="M386" s="60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4.5">
      <c r="A387" s="29"/>
      <c r="B387" s="29"/>
      <c r="C387" s="29"/>
      <c r="D387" s="35" t="s">
        <v>58</v>
      </c>
      <c r="E387" s="68" t="s">
        <v>388</v>
      </c>
      <c r="F387" s="60"/>
      <c r="G387" s="42" t="s">
        <v>389</v>
      </c>
      <c r="H387" s="87">
        <v>600</v>
      </c>
      <c r="I387" s="60"/>
      <c r="J387" s="41">
        <v>15000</v>
      </c>
      <c r="K387" s="29"/>
      <c r="L387" s="83"/>
      <c r="M387" s="60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4.5">
      <c r="A388" s="29"/>
      <c r="B388" s="29"/>
      <c r="C388" s="29"/>
      <c r="D388" s="35" t="s">
        <v>58</v>
      </c>
      <c r="E388" s="68" t="s">
        <v>390</v>
      </c>
      <c r="F388" s="60"/>
      <c r="G388" s="42" t="s">
        <v>391</v>
      </c>
      <c r="H388" s="87">
        <v>600</v>
      </c>
      <c r="I388" s="60"/>
      <c r="J388" s="41">
        <v>9000</v>
      </c>
      <c r="K388" s="29"/>
      <c r="L388" s="83"/>
      <c r="M388" s="60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4.5">
      <c r="A389" s="29"/>
      <c r="B389" s="29"/>
      <c r="C389" s="29"/>
      <c r="D389" s="35" t="s">
        <v>58</v>
      </c>
      <c r="E389" s="68" t="s">
        <v>392</v>
      </c>
      <c r="F389" s="60"/>
      <c r="G389" s="42" t="s">
        <v>393</v>
      </c>
      <c r="H389" s="87">
        <v>75000</v>
      </c>
      <c r="I389" s="60"/>
      <c r="J389" s="41">
        <v>225000</v>
      </c>
      <c r="K389" s="29"/>
      <c r="L389" s="83"/>
      <c r="M389" s="60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4.5">
      <c r="A390" s="29"/>
      <c r="B390" s="29"/>
      <c r="C390" s="29"/>
      <c r="D390" s="35" t="s">
        <v>58</v>
      </c>
      <c r="E390" s="68" t="s">
        <v>146</v>
      </c>
      <c r="F390" s="60"/>
      <c r="G390" s="42" t="s">
        <v>393</v>
      </c>
      <c r="H390" s="87">
        <v>75000</v>
      </c>
      <c r="I390" s="60"/>
      <c r="J390" s="41">
        <v>225000</v>
      </c>
      <c r="K390" s="29"/>
      <c r="L390" s="83"/>
      <c r="M390" s="60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4.5">
      <c r="A391" s="68" t="s">
        <v>54</v>
      </c>
      <c r="B391" s="60"/>
      <c r="C391" s="60"/>
      <c r="D391" s="72" t="s">
        <v>55</v>
      </c>
      <c r="E391" s="60"/>
      <c r="F391" s="60"/>
      <c r="G391" s="29"/>
      <c r="H391" s="29"/>
      <c r="I391" s="30"/>
      <c r="J391" s="41">
        <v>200000</v>
      </c>
      <c r="K391" s="29"/>
      <c r="L391" s="82" t="s">
        <v>56</v>
      </c>
      <c r="M391" s="60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4.5">
      <c r="A392" s="29"/>
      <c r="B392" s="29"/>
      <c r="C392" s="29"/>
      <c r="D392" s="68" t="s">
        <v>57</v>
      </c>
      <c r="E392" s="60"/>
      <c r="F392" s="60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4.5">
      <c r="A393" s="29"/>
      <c r="B393" s="29"/>
      <c r="C393" s="29"/>
      <c r="D393" s="35" t="s">
        <v>58</v>
      </c>
      <c r="E393" s="68" t="s">
        <v>394</v>
      </c>
      <c r="F393" s="60"/>
      <c r="G393" s="42" t="s">
        <v>365</v>
      </c>
      <c r="H393" s="87">
        <v>50000</v>
      </c>
      <c r="I393" s="60"/>
      <c r="J393" s="41">
        <v>200000</v>
      </c>
      <c r="K393" s="29"/>
      <c r="L393" s="83"/>
      <c r="M393" s="60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4.5">
      <c r="A394" s="69" t="s">
        <v>48</v>
      </c>
      <c r="B394" s="60"/>
      <c r="C394" s="60"/>
      <c r="D394" s="69" t="s">
        <v>49</v>
      </c>
      <c r="E394" s="60"/>
      <c r="F394" s="60"/>
      <c r="G394" s="38" t="s">
        <v>50</v>
      </c>
      <c r="H394" s="29"/>
      <c r="I394" s="30"/>
      <c r="J394" s="37">
        <v>2940000</v>
      </c>
      <c r="K394" s="39" t="s">
        <v>51</v>
      </c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4.5">
      <c r="A395" s="67" t="s">
        <v>52</v>
      </c>
      <c r="B395" s="60"/>
      <c r="C395" s="60"/>
      <c r="D395" s="67" t="s">
        <v>53</v>
      </c>
      <c r="E395" s="60"/>
      <c r="F395" s="60"/>
      <c r="G395" s="29"/>
      <c r="H395" s="29"/>
      <c r="I395" s="30"/>
      <c r="J395" s="40">
        <v>2940000</v>
      </c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4.5">
      <c r="A396" s="68" t="s">
        <v>101</v>
      </c>
      <c r="B396" s="60"/>
      <c r="C396" s="60"/>
      <c r="D396" s="72" t="s">
        <v>102</v>
      </c>
      <c r="E396" s="60"/>
      <c r="F396" s="60"/>
      <c r="G396" s="29"/>
      <c r="H396" s="29"/>
      <c r="I396" s="30"/>
      <c r="J396" s="41">
        <v>2000000</v>
      </c>
      <c r="K396" s="29"/>
      <c r="L396" s="82" t="s">
        <v>56</v>
      </c>
      <c r="M396" s="60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4.5">
      <c r="A397" s="29"/>
      <c r="B397" s="29"/>
      <c r="C397" s="29"/>
      <c r="D397" s="68" t="s">
        <v>57</v>
      </c>
      <c r="E397" s="60"/>
      <c r="F397" s="60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4.5">
      <c r="A398" s="29"/>
      <c r="B398" s="29"/>
      <c r="C398" s="29"/>
      <c r="D398" s="35" t="s">
        <v>58</v>
      </c>
      <c r="E398" s="68" t="s">
        <v>395</v>
      </c>
      <c r="F398" s="60"/>
      <c r="G398" s="42" t="s">
        <v>396</v>
      </c>
      <c r="H398" s="87">
        <v>50000</v>
      </c>
      <c r="I398" s="60"/>
      <c r="J398" s="41">
        <v>550000</v>
      </c>
      <c r="K398" s="29"/>
      <c r="L398" s="83"/>
      <c r="M398" s="60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4.5">
      <c r="A399" s="29"/>
      <c r="B399" s="29"/>
      <c r="C399" s="29"/>
      <c r="D399" s="35" t="s">
        <v>58</v>
      </c>
      <c r="E399" s="68" t="s">
        <v>397</v>
      </c>
      <c r="F399" s="60"/>
      <c r="G399" s="42" t="s">
        <v>194</v>
      </c>
      <c r="H399" s="87">
        <v>50000</v>
      </c>
      <c r="I399" s="60"/>
      <c r="J399" s="41">
        <v>50000</v>
      </c>
      <c r="K399" s="29"/>
      <c r="L399" s="83"/>
      <c r="M399" s="60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4.5">
      <c r="A400" s="29"/>
      <c r="B400" s="29"/>
      <c r="C400" s="29"/>
      <c r="D400" s="35" t="s">
        <v>58</v>
      </c>
      <c r="E400" s="68" t="s">
        <v>398</v>
      </c>
      <c r="F400" s="60"/>
      <c r="G400" s="42" t="s">
        <v>114</v>
      </c>
      <c r="H400" s="87">
        <v>50000</v>
      </c>
      <c r="I400" s="60"/>
      <c r="J400" s="41">
        <v>300000</v>
      </c>
      <c r="K400" s="29"/>
      <c r="L400" s="83"/>
      <c r="M400" s="60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4.5">
      <c r="A401" s="29"/>
      <c r="B401" s="29"/>
      <c r="C401" s="29"/>
      <c r="D401" s="35" t="s">
        <v>58</v>
      </c>
      <c r="E401" s="68" t="s">
        <v>399</v>
      </c>
      <c r="F401" s="60"/>
      <c r="G401" s="42" t="s">
        <v>400</v>
      </c>
      <c r="H401" s="87">
        <v>50000</v>
      </c>
      <c r="I401" s="60"/>
      <c r="J401" s="41">
        <v>500000</v>
      </c>
      <c r="K401" s="29"/>
      <c r="L401" s="83"/>
      <c r="M401" s="60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4.5">
      <c r="A402" s="29"/>
      <c r="B402" s="29"/>
      <c r="C402" s="29"/>
      <c r="D402" s="35" t="s">
        <v>58</v>
      </c>
      <c r="E402" s="68" t="s">
        <v>401</v>
      </c>
      <c r="F402" s="60"/>
      <c r="G402" s="42" t="s">
        <v>402</v>
      </c>
      <c r="H402" s="87">
        <v>50000</v>
      </c>
      <c r="I402" s="60"/>
      <c r="J402" s="41">
        <v>150000</v>
      </c>
      <c r="K402" s="29"/>
      <c r="L402" s="83"/>
      <c r="M402" s="60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4.5">
      <c r="A403" s="29"/>
      <c r="B403" s="29"/>
      <c r="C403" s="29"/>
      <c r="D403" s="35" t="s">
        <v>58</v>
      </c>
      <c r="E403" s="68" t="s">
        <v>403</v>
      </c>
      <c r="F403" s="60"/>
      <c r="G403" s="42" t="s">
        <v>402</v>
      </c>
      <c r="H403" s="87">
        <v>50000</v>
      </c>
      <c r="I403" s="60"/>
      <c r="J403" s="41">
        <v>150000</v>
      </c>
      <c r="K403" s="29"/>
      <c r="L403" s="83"/>
      <c r="M403" s="60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4.5">
      <c r="A404" s="29"/>
      <c r="B404" s="29"/>
      <c r="C404" s="29"/>
      <c r="D404" s="35" t="s">
        <v>58</v>
      </c>
      <c r="E404" s="68" t="s">
        <v>404</v>
      </c>
      <c r="F404" s="60"/>
      <c r="G404" s="42" t="s">
        <v>156</v>
      </c>
      <c r="H404" s="87">
        <v>50000</v>
      </c>
      <c r="I404" s="60"/>
      <c r="J404" s="41">
        <v>200000</v>
      </c>
      <c r="K404" s="29"/>
      <c r="L404" s="83"/>
      <c r="M404" s="60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4.5">
      <c r="A405" s="29"/>
      <c r="B405" s="29"/>
      <c r="C405" s="29"/>
      <c r="D405" s="35" t="s">
        <v>58</v>
      </c>
      <c r="E405" s="68" t="s">
        <v>405</v>
      </c>
      <c r="F405" s="60"/>
      <c r="G405" s="42" t="s">
        <v>194</v>
      </c>
      <c r="H405" s="87">
        <v>50000</v>
      </c>
      <c r="I405" s="60"/>
      <c r="J405" s="41">
        <v>50000</v>
      </c>
      <c r="K405" s="29"/>
      <c r="L405" s="83"/>
      <c r="M405" s="60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4.5">
      <c r="A406" s="29"/>
      <c r="B406" s="29"/>
      <c r="C406" s="29"/>
      <c r="D406" s="35" t="s">
        <v>58</v>
      </c>
      <c r="E406" s="68" t="s">
        <v>406</v>
      </c>
      <c r="F406" s="60"/>
      <c r="G406" s="42" t="s">
        <v>194</v>
      </c>
      <c r="H406" s="87">
        <v>50000</v>
      </c>
      <c r="I406" s="60"/>
      <c r="J406" s="41">
        <v>50000</v>
      </c>
      <c r="K406" s="29"/>
      <c r="L406" s="83"/>
      <c r="M406" s="60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4.5">
      <c r="A407" s="68" t="s">
        <v>54</v>
      </c>
      <c r="B407" s="60"/>
      <c r="C407" s="60"/>
      <c r="D407" s="72" t="s">
        <v>55</v>
      </c>
      <c r="E407" s="60"/>
      <c r="F407" s="60"/>
      <c r="G407" s="29"/>
      <c r="H407" s="29"/>
      <c r="I407" s="30"/>
      <c r="J407" s="41">
        <v>940000</v>
      </c>
      <c r="K407" s="29"/>
      <c r="L407" s="82" t="s">
        <v>56</v>
      </c>
      <c r="M407" s="60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4.5">
      <c r="A408" s="29"/>
      <c r="B408" s="29"/>
      <c r="C408" s="29"/>
      <c r="D408" s="68" t="s">
        <v>57</v>
      </c>
      <c r="E408" s="60"/>
      <c r="F408" s="60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4.5">
      <c r="A409" s="29"/>
      <c r="B409" s="29"/>
      <c r="C409" s="29"/>
      <c r="D409" s="35" t="s">
        <v>58</v>
      </c>
      <c r="E409" s="68" t="s">
        <v>407</v>
      </c>
      <c r="F409" s="60"/>
      <c r="G409" s="42" t="s">
        <v>60</v>
      </c>
      <c r="H409" s="87">
        <v>170000</v>
      </c>
      <c r="I409" s="60"/>
      <c r="J409" s="41">
        <v>170000</v>
      </c>
      <c r="K409" s="29"/>
      <c r="L409" s="83"/>
      <c r="M409" s="60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4.5">
      <c r="A410" s="29"/>
      <c r="B410" s="29"/>
      <c r="C410" s="29"/>
      <c r="D410" s="35" t="s">
        <v>58</v>
      </c>
      <c r="E410" s="68" t="s">
        <v>408</v>
      </c>
      <c r="F410" s="60"/>
      <c r="G410" s="42" t="s">
        <v>409</v>
      </c>
      <c r="H410" s="87">
        <v>200000</v>
      </c>
      <c r="I410" s="60"/>
      <c r="J410" s="41">
        <v>600000</v>
      </c>
      <c r="K410" s="29"/>
      <c r="L410" s="83"/>
      <c r="M410" s="60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4.5">
      <c r="A411" s="29"/>
      <c r="B411" s="29"/>
      <c r="C411" s="29"/>
      <c r="D411" s="35" t="s">
        <v>58</v>
      </c>
      <c r="E411" s="68" t="s">
        <v>410</v>
      </c>
      <c r="F411" s="60"/>
      <c r="G411" s="42" t="s">
        <v>60</v>
      </c>
      <c r="H411" s="87">
        <v>170000</v>
      </c>
      <c r="I411" s="60"/>
      <c r="J411" s="41">
        <v>170000</v>
      </c>
      <c r="K411" s="29"/>
      <c r="L411" s="83"/>
      <c r="M411" s="60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4.5">
      <c r="A412" s="70" t="s">
        <v>411</v>
      </c>
      <c r="B412" s="60"/>
      <c r="C412" s="60"/>
      <c r="D412" s="70" t="s">
        <v>412</v>
      </c>
      <c r="E412" s="60"/>
      <c r="F412" s="60"/>
      <c r="G412" s="29"/>
      <c r="H412" s="29"/>
      <c r="I412" s="30"/>
      <c r="J412" s="32">
        <v>87482000</v>
      </c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7.5">
      <c r="A413" s="71" t="s">
        <v>413</v>
      </c>
      <c r="B413" s="60"/>
      <c r="C413" s="60"/>
      <c r="D413" s="71" t="s">
        <v>42</v>
      </c>
      <c r="E413" s="60"/>
      <c r="F413" s="60"/>
      <c r="G413" s="33" t="s">
        <v>64</v>
      </c>
      <c r="H413" s="29"/>
      <c r="I413" s="30"/>
      <c r="J413" s="34">
        <v>87482000</v>
      </c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4.5">
      <c r="A414" s="29"/>
      <c r="B414" s="29"/>
      <c r="C414" s="29"/>
      <c r="D414" s="68" t="s">
        <v>44</v>
      </c>
      <c r="E414" s="60"/>
      <c r="F414" s="60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4.5">
      <c r="A415" s="69" t="s">
        <v>414</v>
      </c>
      <c r="B415" s="60"/>
      <c r="C415" s="60"/>
      <c r="D415" s="69" t="s">
        <v>415</v>
      </c>
      <c r="E415" s="60"/>
      <c r="F415" s="60"/>
      <c r="G415" s="36" t="s">
        <v>67</v>
      </c>
      <c r="H415" s="29"/>
      <c r="I415" s="30"/>
      <c r="J415" s="37">
        <v>87482000</v>
      </c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4.5">
      <c r="A416" s="69" t="s">
        <v>88</v>
      </c>
      <c r="B416" s="60"/>
      <c r="C416" s="60"/>
      <c r="D416" s="69" t="s">
        <v>89</v>
      </c>
      <c r="E416" s="60"/>
      <c r="F416" s="60"/>
      <c r="G416" s="38" t="s">
        <v>50</v>
      </c>
      <c r="H416" s="29"/>
      <c r="I416" s="30"/>
      <c r="J416" s="37">
        <v>65050000</v>
      </c>
      <c r="K416" s="39" t="s">
        <v>51</v>
      </c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4.5">
      <c r="A417" s="67" t="s">
        <v>52</v>
      </c>
      <c r="B417" s="60"/>
      <c r="C417" s="60"/>
      <c r="D417" s="67" t="s">
        <v>53</v>
      </c>
      <c r="E417" s="60"/>
      <c r="F417" s="60"/>
      <c r="G417" s="29"/>
      <c r="H417" s="29"/>
      <c r="I417" s="30"/>
      <c r="J417" s="40">
        <v>65050000</v>
      </c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4.5">
      <c r="A418" s="68" t="s">
        <v>90</v>
      </c>
      <c r="B418" s="60"/>
      <c r="C418" s="60"/>
      <c r="D418" s="72" t="s">
        <v>91</v>
      </c>
      <c r="E418" s="60"/>
      <c r="F418" s="60"/>
      <c r="G418" s="29"/>
      <c r="H418" s="29"/>
      <c r="I418" s="30"/>
      <c r="J418" s="41">
        <v>50430000</v>
      </c>
      <c r="K418" s="29"/>
      <c r="L418" s="82" t="s">
        <v>56</v>
      </c>
      <c r="M418" s="60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4.5">
      <c r="A419" s="29"/>
      <c r="B419" s="29"/>
      <c r="C419" s="29"/>
      <c r="D419" s="68" t="s">
        <v>57</v>
      </c>
      <c r="E419" s="60"/>
      <c r="F419" s="60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4.5">
      <c r="A420" s="29"/>
      <c r="B420" s="29"/>
      <c r="C420" s="29"/>
      <c r="D420" s="35" t="s">
        <v>58</v>
      </c>
      <c r="E420" s="68" t="s">
        <v>416</v>
      </c>
      <c r="F420" s="60"/>
      <c r="G420" s="42" t="s">
        <v>417</v>
      </c>
      <c r="H420" s="87">
        <v>19000</v>
      </c>
      <c r="I420" s="60"/>
      <c r="J420" s="41">
        <v>5700000</v>
      </c>
      <c r="K420" s="29"/>
      <c r="L420" s="83"/>
      <c r="M420" s="60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4.5">
      <c r="A421" s="29"/>
      <c r="B421" s="29"/>
      <c r="C421" s="29"/>
      <c r="D421" s="35" t="s">
        <v>58</v>
      </c>
      <c r="E421" s="68" t="s">
        <v>418</v>
      </c>
      <c r="F421" s="60"/>
      <c r="G421" s="42" t="s">
        <v>419</v>
      </c>
      <c r="H421" s="87">
        <v>55000</v>
      </c>
      <c r="I421" s="60"/>
      <c r="J421" s="41">
        <v>1650000</v>
      </c>
      <c r="K421" s="29"/>
      <c r="L421" s="83"/>
      <c r="M421" s="60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4.5">
      <c r="A422" s="29"/>
      <c r="B422" s="29"/>
      <c r="C422" s="29"/>
      <c r="D422" s="35" t="s">
        <v>58</v>
      </c>
      <c r="E422" s="68" t="s">
        <v>420</v>
      </c>
      <c r="F422" s="60"/>
      <c r="G422" s="42" t="s">
        <v>421</v>
      </c>
      <c r="H422" s="87">
        <v>55000</v>
      </c>
      <c r="I422" s="60"/>
      <c r="J422" s="41">
        <v>26400000</v>
      </c>
      <c r="K422" s="29"/>
      <c r="L422" s="83"/>
      <c r="M422" s="60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4.5">
      <c r="A423" s="29"/>
      <c r="B423" s="29"/>
      <c r="C423" s="29"/>
      <c r="D423" s="35" t="s">
        <v>58</v>
      </c>
      <c r="E423" s="68" t="s">
        <v>422</v>
      </c>
      <c r="F423" s="60"/>
      <c r="G423" s="42" t="s">
        <v>423</v>
      </c>
      <c r="H423" s="87">
        <v>55000</v>
      </c>
      <c r="I423" s="60"/>
      <c r="J423" s="41">
        <v>6600000</v>
      </c>
      <c r="K423" s="29"/>
      <c r="L423" s="83"/>
      <c r="M423" s="60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4.5">
      <c r="A424" s="29"/>
      <c r="B424" s="29"/>
      <c r="C424" s="29"/>
      <c r="D424" s="35" t="s">
        <v>58</v>
      </c>
      <c r="E424" s="68" t="s">
        <v>424</v>
      </c>
      <c r="F424" s="60"/>
      <c r="G424" s="42" t="s">
        <v>425</v>
      </c>
      <c r="H424" s="87">
        <v>168000</v>
      </c>
      <c r="I424" s="60"/>
      <c r="J424" s="41">
        <v>8064000</v>
      </c>
      <c r="K424" s="29"/>
      <c r="L424" s="83"/>
      <c r="M424" s="60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4.5">
      <c r="A425" s="29"/>
      <c r="B425" s="29"/>
      <c r="C425" s="29"/>
      <c r="D425" s="35" t="s">
        <v>58</v>
      </c>
      <c r="E425" s="68" t="s">
        <v>426</v>
      </c>
      <c r="F425" s="60"/>
      <c r="G425" s="42" t="s">
        <v>427</v>
      </c>
      <c r="H425" s="87">
        <v>168000</v>
      </c>
      <c r="I425" s="60"/>
      <c r="J425" s="41">
        <v>2016000</v>
      </c>
      <c r="K425" s="29"/>
      <c r="L425" s="83"/>
      <c r="M425" s="60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4.5">
      <c r="A426" s="68" t="s">
        <v>54</v>
      </c>
      <c r="B426" s="60"/>
      <c r="C426" s="60"/>
      <c r="D426" s="72" t="s">
        <v>55</v>
      </c>
      <c r="E426" s="60"/>
      <c r="F426" s="60"/>
      <c r="G426" s="29"/>
      <c r="H426" s="29"/>
      <c r="I426" s="30"/>
      <c r="J426" s="41">
        <v>14620000</v>
      </c>
      <c r="K426" s="29"/>
      <c r="L426" s="82" t="s">
        <v>56</v>
      </c>
      <c r="M426" s="60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4.5">
      <c r="A427" s="29"/>
      <c r="B427" s="29"/>
      <c r="C427" s="29"/>
      <c r="D427" s="68" t="s">
        <v>57</v>
      </c>
      <c r="E427" s="60"/>
      <c r="F427" s="60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4.5">
      <c r="A428" s="29"/>
      <c r="B428" s="29"/>
      <c r="C428" s="29"/>
      <c r="D428" s="35" t="s">
        <v>58</v>
      </c>
      <c r="E428" s="68" t="s">
        <v>428</v>
      </c>
      <c r="F428" s="60"/>
      <c r="G428" s="42" t="s">
        <v>429</v>
      </c>
      <c r="H428" s="87">
        <v>170000</v>
      </c>
      <c r="I428" s="60"/>
      <c r="J428" s="41">
        <v>8160000</v>
      </c>
      <c r="K428" s="29"/>
      <c r="L428" s="83"/>
      <c r="M428" s="60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4.5">
      <c r="A429" s="29"/>
      <c r="B429" s="29"/>
      <c r="C429" s="29"/>
      <c r="D429" s="35" t="s">
        <v>58</v>
      </c>
      <c r="E429" s="68" t="s">
        <v>430</v>
      </c>
      <c r="F429" s="60"/>
      <c r="G429" s="42" t="s">
        <v>318</v>
      </c>
      <c r="H429" s="87">
        <v>170000</v>
      </c>
      <c r="I429" s="60"/>
      <c r="J429" s="41">
        <v>2040000</v>
      </c>
      <c r="K429" s="29"/>
      <c r="L429" s="83"/>
      <c r="M429" s="60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4.5">
      <c r="A430" s="29"/>
      <c r="B430" s="29"/>
      <c r="C430" s="29"/>
      <c r="D430" s="35" t="s">
        <v>58</v>
      </c>
      <c r="E430" s="68" t="s">
        <v>431</v>
      </c>
      <c r="F430" s="60"/>
      <c r="G430" s="42" t="s">
        <v>432</v>
      </c>
      <c r="H430" s="87">
        <v>170000</v>
      </c>
      <c r="I430" s="60"/>
      <c r="J430" s="41">
        <v>1870000</v>
      </c>
      <c r="K430" s="29"/>
      <c r="L430" s="83"/>
      <c r="M430" s="60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4.5">
      <c r="A431" s="29"/>
      <c r="B431" s="29"/>
      <c r="C431" s="29"/>
      <c r="D431" s="35" t="s">
        <v>58</v>
      </c>
      <c r="E431" s="68" t="s">
        <v>433</v>
      </c>
      <c r="F431" s="60"/>
      <c r="G431" s="42" t="s">
        <v>104</v>
      </c>
      <c r="H431" s="87">
        <v>170000</v>
      </c>
      <c r="I431" s="60"/>
      <c r="J431" s="41">
        <v>1360000</v>
      </c>
      <c r="K431" s="29"/>
      <c r="L431" s="83"/>
      <c r="M431" s="60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4.5">
      <c r="A432" s="29"/>
      <c r="B432" s="29"/>
      <c r="C432" s="29"/>
      <c r="D432" s="35" t="s">
        <v>58</v>
      </c>
      <c r="E432" s="68" t="s">
        <v>434</v>
      </c>
      <c r="F432" s="60"/>
      <c r="G432" s="42" t="s">
        <v>365</v>
      </c>
      <c r="H432" s="87">
        <v>170000</v>
      </c>
      <c r="I432" s="60"/>
      <c r="J432" s="41">
        <v>680000</v>
      </c>
      <c r="K432" s="29"/>
      <c r="L432" s="83"/>
      <c r="M432" s="60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4.5">
      <c r="A433" s="29"/>
      <c r="B433" s="29"/>
      <c r="C433" s="29"/>
      <c r="D433" s="35" t="s">
        <v>58</v>
      </c>
      <c r="E433" s="68" t="s">
        <v>435</v>
      </c>
      <c r="F433" s="60"/>
      <c r="G433" s="42" t="s">
        <v>69</v>
      </c>
      <c r="H433" s="87">
        <v>170000</v>
      </c>
      <c r="I433" s="60"/>
      <c r="J433" s="41">
        <v>510000</v>
      </c>
      <c r="K433" s="29"/>
      <c r="L433" s="83"/>
      <c r="M433" s="60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4.5">
      <c r="A434" s="69" t="s">
        <v>99</v>
      </c>
      <c r="B434" s="60"/>
      <c r="C434" s="60"/>
      <c r="D434" s="69" t="s">
        <v>100</v>
      </c>
      <c r="E434" s="60"/>
      <c r="F434" s="60"/>
      <c r="G434" s="38" t="s">
        <v>50</v>
      </c>
      <c r="H434" s="29"/>
      <c r="I434" s="30"/>
      <c r="J434" s="37">
        <v>20282000</v>
      </c>
      <c r="K434" s="39" t="s">
        <v>51</v>
      </c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4.5">
      <c r="A435" s="67" t="s">
        <v>52</v>
      </c>
      <c r="B435" s="60"/>
      <c r="C435" s="60"/>
      <c r="D435" s="67" t="s">
        <v>53</v>
      </c>
      <c r="E435" s="60"/>
      <c r="F435" s="60"/>
      <c r="G435" s="29"/>
      <c r="H435" s="29"/>
      <c r="I435" s="30"/>
      <c r="J435" s="40">
        <v>20282000</v>
      </c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4.5">
      <c r="A436" s="68" t="s">
        <v>101</v>
      </c>
      <c r="B436" s="60"/>
      <c r="C436" s="60"/>
      <c r="D436" s="72" t="s">
        <v>102</v>
      </c>
      <c r="E436" s="60"/>
      <c r="F436" s="60"/>
      <c r="G436" s="29"/>
      <c r="H436" s="29"/>
      <c r="I436" s="30"/>
      <c r="J436" s="41">
        <v>3380000</v>
      </c>
      <c r="K436" s="29"/>
      <c r="L436" s="82" t="s">
        <v>56</v>
      </c>
      <c r="M436" s="60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4.5">
      <c r="A437" s="29"/>
      <c r="B437" s="29"/>
      <c r="C437" s="29"/>
      <c r="D437" s="68" t="s">
        <v>57</v>
      </c>
      <c r="E437" s="60"/>
      <c r="F437" s="60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4.5">
      <c r="A438" s="29"/>
      <c r="B438" s="29"/>
      <c r="C438" s="29"/>
      <c r="D438" s="35" t="s">
        <v>58</v>
      </c>
      <c r="E438" s="68" t="s">
        <v>436</v>
      </c>
      <c r="F438" s="60"/>
      <c r="G438" s="42" t="s">
        <v>437</v>
      </c>
      <c r="H438" s="87">
        <v>50000</v>
      </c>
      <c r="I438" s="60"/>
      <c r="J438" s="41">
        <v>750000</v>
      </c>
      <c r="K438" s="29"/>
      <c r="L438" s="83"/>
      <c r="M438" s="60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4.5">
      <c r="A439" s="29"/>
      <c r="B439" s="29"/>
      <c r="C439" s="29"/>
      <c r="D439" s="35" t="s">
        <v>58</v>
      </c>
      <c r="E439" s="68" t="s">
        <v>438</v>
      </c>
      <c r="F439" s="60"/>
      <c r="G439" s="42" t="s">
        <v>402</v>
      </c>
      <c r="H439" s="87">
        <v>50000</v>
      </c>
      <c r="I439" s="60"/>
      <c r="J439" s="41">
        <v>150000</v>
      </c>
      <c r="K439" s="29"/>
      <c r="L439" s="83"/>
      <c r="M439" s="60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4.5">
      <c r="A440" s="29"/>
      <c r="B440" s="29"/>
      <c r="C440" s="29"/>
      <c r="D440" s="35" t="s">
        <v>58</v>
      </c>
      <c r="E440" s="68" t="s">
        <v>439</v>
      </c>
      <c r="F440" s="60"/>
      <c r="G440" s="42" t="s">
        <v>440</v>
      </c>
      <c r="H440" s="87">
        <v>50000</v>
      </c>
      <c r="I440" s="60"/>
      <c r="J440" s="41">
        <v>1200000</v>
      </c>
      <c r="K440" s="29"/>
      <c r="L440" s="83"/>
      <c r="M440" s="60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4.5">
      <c r="A441" s="29"/>
      <c r="B441" s="29"/>
      <c r="C441" s="29"/>
      <c r="D441" s="35" t="s">
        <v>58</v>
      </c>
      <c r="E441" s="68" t="s">
        <v>441</v>
      </c>
      <c r="F441" s="60"/>
      <c r="G441" s="42" t="s">
        <v>442</v>
      </c>
      <c r="H441" s="87">
        <v>50000</v>
      </c>
      <c r="I441" s="60"/>
      <c r="J441" s="41">
        <v>450000</v>
      </c>
      <c r="K441" s="29"/>
      <c r="L441" s="83"/>
      <c r="M441" s="60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4.5">
      <c r="A442" s="29"/>
      <c r="B442" s="29"/>
      <c r="C442" s="29"/>
      <c r="D442" s="35" t="s">
        <v>58</v>
      </c>
      <c r="E442" s="68" t="s">
        <v>443</v>
      </c>
      <c r="F442" s="60"/>
      <c r="G442" s="42" t="s">
        <v>444</v>
      </c>
      <c r="H442" s="87">
        <v>83000</v>
      </c>
      <c r="I442" s="60"/>
      <c r="J442" s="41">
        <v>830000</v>
      </c>
      <c r="K442" s="29"/>
      <c r="L442" s="83"/>
      <c r="M442" s="60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4.5">
      <c r="A443" s="68" t="s">
        <v>90</v>
      </c>
      <c r="B443" s="60"/>
      <c r="C443" s="60"/>
      <c r="D443" s="72" t="s">
        <v>91</v>
      </c>
      <c r="E443" s="60"/>
      <c r="F443" s="60"/>
      <c r="G443" s="29"/>
      <c r="H443" s="29"/>
      <c r="I443" s="30"/>
      <c r="J443" s="41">
        <v>3996000</v>
      </c>
      <c r="K443" s="29"/>
      <c r="L443" s="82" t="s">
        <v>56</v>
      </c>
      <c r="M443" s="60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4.5">
      <c r="A444" s="29"/>
      <c r="B444" s="29"/>
      <c r="C444" s="29"/>
      <c r="D444" s="68" t="s">
        <v>57</v>
      </c>
      <c r="E444" s="60"/>
      <c r="F444" s="60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4.5">
      <c r="A445" s="29"/>
      <c r="B445" s="29"/>
      <c r="C445" s="29"/>
      <c r="D445" s="35" t="s">
        <v>58</v>
      </c>
      <c r="E445" s="68" t="s">
        <v>445</v>
      </c>
      <c r="F445" s="60"/>
      <c r="G445" s="42" t="s">
        <v>144</v>
      </c>
      <c r="H445" s="87">
        <v>111000</v>
      </c>
      <c r="I445" s="60"/>
      <c r="J445" s="41">
        <v>1998000</v>
      </c>
      <c r="K445" s="29"/>
      <c r="L445" s="83"/>
      <c r="M445" s="60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4.5">
      <c r="A446" s="29"/>
      <c r="B446" s="29"/>
      <c r="C446" s="29"/>
      <c r="D446" s="35" t="s">
        <v>58</v>
      </c>
      <c r="E446" s="68" t="s">
        <v>446</v>
      </c>
      <c r="F446" s="60"/>
      <c r="G446" s="42" t="s">
        <v>144</v>
      </c>
      <c r="H446" s="87">
        <v>111000</v>
      </c>
      <c r="I446" s="60"/>
      <c r="J446" s="41">
        <v>1998000</v>
      </c>
      <c r="K446" s="29"/>
      <c r="L446" s="83"/>
      <c r="M446" s="60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4.5">
      <c r="A447" s="68" t="s">
        <v>107</v>
      </c>
      <c r="B447" s="60"/>
      <c r="C447" s="60"/>
      <c r="D447" s="72" t="s">
        <v>108</v>
      </c>
      <c r="E447" s="60"/>
      <c r="F447" s="60"/>
      <c r="G447" s="29"/>
      <c r="H447" s="29"/>
      <c r="I447" s="30"/>
      <c r="J447" s="41">
        <v>8106000</v>
      </c>
      <c r="K447" s="29"/>
      <c r="L447" s="82" t="s">
        <v>56</v>
      </c>
      <c r="M447" s="60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4.5">
      <c r="A448" s="29"/>
      <c r="B448" s="29"/>
      <c r="C448" s="29"/>
      <c r="D448" s="68" t="s">
        <v>57</v>
      </c>
      <c r="E448" s="60"/>
      <c r="F448" s="60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4.5">
      <c r="A449" s="29"/>
      <c r="B449" s="29"/>
      <c r="C449" s="29"/>
      <c r="D449" s="35" t="s">
        <v>58</v>
      </c>
      <c r="E449" s="68" t="s">
        <v>447</v>
      </c>
      <c r="F449" s="60"/>
      <c r="G449" s="42" t="s">
        <v>448</v>
      </c>
      <c r="H449" s="87">
        <v>600</v>
      </c>
      <c r="I449" s="60"/>
      <c r="J449" s="41">
        <v>3693000</v>
      </c>
      <c r="K449" s="29"/>
      <c r="L449" s="83"/>
      <c r="M449" s="60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4.5">
      <c r="A450" s="29"/>
      <c r="B450" s="29"/>
      <c r="C450" s="29"/>
      <c r="D450" s="35" t="s">
        <v>58</v>
      </c>
      <c r="E450" s="68" t="s">
        <v>449</v>
      </c>
      <c r="F450" s="60"/>
      <c r="G450" s="42" t="s">
        <v>450</v>
      </c>
      <c r="H450" s="87">
        <v>600</v>
      </c>
      <c r="I450" s="60"/>
      <c r="J450" s="41">
        <v>1393000</v>
      </c>
      <c r="K450" s="29"/>
      <c r="L450" s="83"/>
      <c r="M450" s="60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4.5">
      <c r="A451" s="29"/>
      <c r="B451" s="29"/>
      <c r="C451" s="29"/>
      <c r="D451" s="35" t="s">
        <v>58</v>
      </c>
      <c r="E451" s="68" t="s">
        <v>451</v>
      </c>
      <c r="F451" s="60"/>
      <c r="G451" s="42" t="s">
        <v>452</v>
      </c>
      <c r="H451" s="87">
        <v>473750</v>
      </c>
      <c r="I451" s="60"/>
      <c r="J451" s="41">
        <v>1895000</v>
      </c>
      <c r="K451" s="29"/>
      <c r="L451" s="83"/>
      <c r="M451" s="60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4.5">
      <c r="A452" s="29"/>
      <c r="B452" s="29"/>
      <c r="C452" s="29"/>
      <c r="D452" s="35" t="s">
        <v>58</v>
      </c>
      <c r="E452" s="68" t="s">
        <v>453</v>
      </c>
      <c r="F452" s="60"/>
      <c r="G452" s="42" t="s">
        <v>452</v>
      </c>
      <c r="H452" s="87">
        <v>281250</v>
      </c>
      <c r="I452" s="60"/>
      <c r="J452" s="41">
        <v>1125000</v>
      </c>
      <c r="K452" s="29"/>
      <c r="L452" s="83"/>
      <c r="M452" s="60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4.5">
      <c r="A453" s="68" t="s">
        <v>54</v>
      </c>
      <c r="B453" s="60"/>
      <c r="C453" s="60"/>
      <c r="D453" s="72" t="s">
        <v>55</v>
      </c>
      <c r="E453" s="60"/>
      <c r="F453" s="60"/>
      <c r="G453" s="29"/>
      <c r="H453" s="29"/>
      <c r="I453" s="30"/>
      <c r="J453" s="41">
        <v>90000</v>
      </c>
      <c r="K453" s="29"/>
      <c r="L453" s="82" t="s">
        <v>56</v>
      </c>
      <c r="M453" s="60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4.5">
      <c r="A454" s="29"/>
      <c r="B454" s="29"/>
      <c r="C454" s="29"/>
      <c r="D454" s="68" t="s">
        <v>57</v>
      </c>
      <c r="E454" s="60"/>
      <c r="F454" s="60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4.5">
      <c r="A455" s="29"/>
      <c r="B455" s="29"/>
      <c r="C455" s="29"/>
      <c r="D455" s="35" t="s">
        <v>58</v>
      </c>
      <c r="E455" s="68" t="s">
        <v>454</v>
      </c>
      <c r="F455" s="60"/>
      <c r="G455" s="42" t="s">
        <v>69</v>
      </c>
      <c r="H455" s="87">
        <v>30000</v>
      </c>
      <c r="I455" s="60"/>
      <c r="J455" s="41">
        <v>90000</v>
      </c>
      <c r="K455" s="29"/>
      <c r="L455" s="83"/>
      <c r="M455" s="60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4.5">
      <c r="A456" s="68" t="s">
        <v>150</v>
      </c>
      <c r="B456" s="60"/>
      <c r="C456" s="60"/>
      <c r="D456" s="72" t="s">
        <v>151</v>
      </c>
      <c r="E456" s="60"/>
      <c r="F456" s="60"/>
      <c r="G456" s="29"/>
      <c r="H456" s="29"/>
      <c r="I456" s="30"/>
      <c r="J456" s="41">
        <v>4710000</v>
      </c>
      <c r="K456" s="29"/>
      <c r="L456" s="82" t="s">
        <v>56</v>
      </c>
      <c r="M456" s="60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4.5">
      <c r="A457" s="29"/>
      <c r="B457" s="29"/>
      <c r="C457" s="29"/>
      <c r="D457" s="68" t="s">
        <v>57</v>
      </c>
      <c r="E457" s="60"/>
      <c r="F457" s="60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4.5">
      <c r="A458" s="29"/>
      <c r="B458" s="29"/>
      <c r="C458" s="29"/>
      <c r="D458" s="35" t="s">
        <v>58</v>
      </c>
      <c r="E458" s="68" t="s">
        <v>455</v>
      </c>
      <c r="F458" s="60"/>
      <c r="G458" s="42" t="s">
        <v>456</v>
      </c>
      <c r="H458" s="87">
        <v>240000</v>
      </c>
      <c r="I458" s="60"/>
      <c r="J458" s="41">
        <v>3600000</v>
      </c>
      <c r="K458" s="29"/>
      <c r="L458" s="83"/>
      <c r="M458" s="60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4.5">
      <c r="A459" s="29"/>
      <c r="B459" s="29"/>
      <c r="C459" s="29"/>
      <c r="D459" s="35" t="s">
        <v>58</v>
      </c>
      <c r="E459" s="68" t="s">
        <v>457</v>
      </c>
      <c r="F459" s="60"/>
      <c r="G459" s="42" t="s">
        <v>456</v>
      </c>
      <c r="H459" s="87">
        <v>74000</v>
      </c>
      <c r="I459" s="60"/>
      <c r="J459" s="41">
        <v>1110000</v>
      </c>
      <c r="K459" s="29"/>
      <c r="L459" s="83"/>
      <c r="M459" s="60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4.5">
      <c r="A460" s="69" t="s">
        <v>48</v>
      </c>
      <c r="B460" s="60"/>
      <c r="C460" s="60"/>
      <c r="D460" s="69" t="s">
        <v>49</v>
      </c>
      <c r="E460" s="60"/>
      <c r="F460" s="60"/>
      <c r="G460" s="38" t="s">
        <v>50</v>
      </c>
      <c r="H460" s="29"/>
      <c r="I460" s="30"/>
      <c r="J460" s="37">
        <v>2150000</v>
      </c>
      <c r="K460" s="39" t="s">
        <v>51</v>
      </c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4.5">
      <c r="A461" s="67" t="s">
        <v>52</v>
      </c>
      <c r="B461" s="60"/>
      <c r="C461" s="60"/>
      <c r="D461" s="67" t="s">
        <v>53</v>
      </c>
      <c r="E461" s="60"/>
      <c r="F461" s="60"/>
      <c r="G461" s="29"/>
      <c r="H461" s="29"/>
      <c r="I461" s="30"/>
      <c r="J461" s="40">
        <v>2150000</v>
      </c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4.5">
      <c r="A462" s="68" t="s">
        <v>101</v>
      </c>
      <c r="B462" s="60"/>
      <c r="C462" s="60"/>
      <c r="D462" s="72" t="s">
        <v>102</v>
      </c>
      <c r="E462" s="60"/>
      <c r="F462" s="60"/>
      <c r="G462" s="29"/>
      <c r="H462" s="29"/>
      <c r="I462" s="30"/>
      <c r="J462" s="41">
        <v>1150000</v>
      </c>
      <c r="K462" s="29"/>
      <c r="L462" s="82" t="s">
        <v>56</v>
      </c>
      <c r="M462" s="60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4.5">
      <c r="A463" s="29"/>
      <c r="B463" s="29"/>
      <c r="C463" s="29"/>
      <c r="D463" s="68" t="s">
        <v>57</v>
      </c>
      <c r="E463" s="60"/>
      <c r="F463" s="60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4.5">
      <c r="A464" s="29"/>
      <c r="B464" s="29"/>
      <c r="C464" s="29"/>
      <c r="D464" s="35" t="s">
        <v>58</v>
      </c>
      <c r="E464" s="68" t="s">
        <v>458</v>
      </c>
      <c r="F464" s="60"/>
      <c r="G464" s="42" t="s">
        <v>271</v>
      </c>
      <c r="H464" s="87">
        <v>50000</v>
      </c>
      <c r="I464" s="60"/>
      <c r="J464" s="41">
        <v>1000000</v>
      </c>
      <c r="K464" s="29"/>
      <c r="L464" s="83"/>
      <c r="M464" s="60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4.5">
      <c r="A465" s="29"/>
      <c r="B465" s="29"/>
      <c r="C465" s="29"/>
      <c r="D465" s="35" t="s">
        <v>58</v>
      </c>
      <c r="E465" s="68" t="s">
        <v>459</v>
      </c>
      <c r="F465" s="60"/>
      <c r="G465" s="42" t="s">
        <v>402</v>
      </c>
      <c r="H465" s="87">
        <v>50000</v>
      </c>
      <c r="I465" s="60"/>
      <c r="J465" s="41">
        <v>150000</v>
      </c>
      <c r="K465" s="29"/>
      <c r="L465" s="83"/>
      <c r="M465" s="60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4.5">
      <c r="A466" s="68" t="s">
        <v>54</v>
      </c>
      <c r="B466" s="60"/>
      <c r="C466" s="60"/>
      <c r="D466" s="72" t="s">
        <v>55</v>
      </c>
      <c r="E466" s="60"/>
      <c r="F466" s="60"/>
      <c r="G466" s="29"/>
      <c r="H466" s="29"/>
      <c r="I466" s="30"/>
      <c r="J466" s="41">
        <v>1000000</v>
      </c>
      <c r="K466" s="29"/>
      <c r="L466" s="82" t="s">
        <v>56</v>
      </c>
      <c r="M466" s="60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4.5">
      <c r="A467" s="29"/>
      <c r="B467" s="29"/>
      <c r="C467" s="29"/>
      <c r="D467" s="68" t="s">
        <v>57</v>
      </c>
      <c r="E467" s="60"/>
      <c r="F467" s="60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4.5">
      <c r="A468" s="29"/>
      <c r="B468" s="29"/>
      <c r="C468" s="29"/>
      <c r="D468" s="35" t="s">
        <v>58</v>
      </c>
      <c r="E468" s="68" t="s">
        <v>460</v>
      </c>
      <c r="F468" s="60"/>
      <c r="G468" s="42" t="s">
        <v>461</v>
      </c>
      <c r="H468" s="87">
        <v>200000</v>
      </c>
      <c r="I468" s="60"/>
      <c r="J468" s="41">
        <v>1000000</v>
      </c>
      <c r="K468" s="29"/>
      <c r="L468" s="83"/>
      <c r="M468" s="60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4.5">
      <c r="A469" s="70" t="s">
        <v>462</v>
      </c>
      <c r="B469" s="60"/>
      <c r="C469" s="60"/>
      <c r="D469" s="70" t="s">
        <v>463</v>
      </c>
      <c r="E469" s="60"/>
      <c r="F469" s="60"/>
      <c r="G469" s="29"/>
      <c r="H469" s="29"/>
      <c r="I469" s="30"/>
      <c r="J469" s="32">
        <v>306243000</v>
      </c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7.5">
      <c r="A470" s="71" t="s">
        <v>464</v>
      </c>
      <c r="B470" s="60"/>
      <c r="C470" s="60"/>
      <c r="D470" s="71" t="s">
        <v>42</v>
      </c>
      <c r="E470" s="60"/>
      <c r="F470" s="60"/>
      <c r="G470" s="33" t="s">
        <v>465</v>
      </c>
      <c r="H470" s="29"/>
      <c r="I470" s="30"/>
      <c r="J470" s="34">
        <v>306243000</v>
      </c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4.5">
      <c r="A471" s="29"/>
      <c r="B471" s="29"/>
      <c r="C471" s="29"/>
      <c r="D471" s="68" t="s">
        <v>44</v>
      </c>
      <c r="E471" s="60"/>
      <c r="F471" s="60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4.5">
      <c r="A472" s="69" t="s">
        <v>466</v>
      </c>
      <c r="B472" s="60"/>
      <c r="C472" s="60"/>
      <c r="D472" s="69" t="s">
        <v>467</v>
      </c>
      <c r="E472" s="60"/>
      <c r="F472" s="60"/>
      <c r="G472" s="36" t="s">
        <v>47</v>
      </c>
      <c r="H472" s="29"/>
      <c r="I472" s="30"/>
      <c r="J472" s="37">
        <v>2650000</v>
      </c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4.5">
      <c r="A473" s="69" t="s">
        <v>99</v>
      </c>
      <c r="B473" s="60"/>
      <c r="C473" s="60"/>
      <c r="D473" s="69" t="s">
        <v>100</v>
      </c>
      <c r="E473" s="60"/>
      <c r="F473" s="60"/>
      <c r="G473" s="38" t="s">
        <v>50</v>
      </c>
      <c r="H473" s="29"/>
      <c r="I473" s="30"/>
      <c r="J473" s="37">
        <v>1000000</v>
      </c>
      <c r="K473" s="39" t="s">
        <v>51</v>
      </c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4.5">
      <c r="A474" s="67" t="s">
        <v>52</v>
      </c>
      <c r="B474" s="60"/>
      <c r="C474" s="60"/>
      <c r="D474" s="67" t="s">
        <v>53</v>
      </c>
      <c r="E474" s="60"/>
      <c r="F474" s="60"/>
      <c r="G474" s="29"/>
      <c r="H474" s="29"/>
      <c r="I474" s="30"/>
      <c r="J474" s="40">
        <v>1000000</v>
      </c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4.5">
      <c r="A475" s="68" t="s">
        <v>107</v>
      </c>
      <c r="B475" s="60"/>
      <c r="C475" s="60"/>
      <c r="D475" s="72" t="s">
        <v>108</v>
      </c>
      <c r="E475" s="60"/>
      <c r="F475" s="60"/>
      <c r="G475" s="29"/>
      <c r="H475" s="29"/>
      <c r="I475" s="30"/>
      <c r="J475" s="41">
        <v>1000000</v>
      </c>
      <c r="K475" s="29"/>
      <c r="L475" s="82" t="s">
        <v>56</v>
      </c>
      <c r="M475" s="60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4.5">
      <c r="A476" s="29"/>
      <c r="B476" s="29"/>
      <c r="C476" s="29"/>
      <c r="D476" s="68" t="s">
        <v>57</v>
      </c>
      <c r="E476" s="60"/>
      <c r="F476" s="60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4.5">
      <c r="A477" s="29"/>
      <c r="B477" s="29"/>
      <c r="C477" s="29"/>
      <c r="D477" s="35" t="s">
        <v>58</v>
      </c>
      <c r="E477" s="68" t="s">
        <v>468</v>
      </c>
      <c r="F477" s="60"/>
      <c r="G477" s="42" t="s">
        <v>110</v>
      </c>
      <c r="H477" s="87">
        <v>500000</v>
      </c>
      <c r="I477" s="60"/>
      <c r="J477" s="41">
        <v>500000</v>
      </c>
      <c r="K477" s="29"/>
      <c r="L477" s="83"/>
      <c r="M477" s="60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4.5">
      <c r="A478" s="29"/>
      <c r="B478" s="29"/>
      <c r="C478" s="29"/>
      <c r="D478" s="35" t="s">
        <v>58</v>
      </c>
      <c r="E478" s="68" t="s">
        <v>469</v>
      </c>
      <c r="F478" s="60"/>
      <c r="G478" s="42" t="s">
        <v>110</v>
      </c>
      <c r="H478" s="87">
        <v>500000</v>
      </c>
      <c r="I478" s="60"/>
      <c r="J478" s="41">
        <v>500000</v>
      </c>
      <c r="K478" s="29"/>
      <c r="L478" s="83"/>
      <c r="M478" s="60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4.5">
      <c r="A479" s="69" t="s">
        <v>48</v>
      </c>
      <c r="B479" s="60"/>
      <c r="C479" s="60"/>
      <c r="D479" s="69" t="s">
        <v>49</v>
      </c>
      <c r="E479" s="60"/>
      <c r="F479" s="60"/>
      <c r="G479" s="38" t="s">
        <v>50</v>
      </c>
      <c r="H479" s="29"/>
      <c r="I479" s="30"/>
      <c r="J479" s="37">
        <v>1650000</v>
      </c>
      <c r="K479" s="39" t="s">
        <v>51</v>
      </c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4.5">
      <c r="A480" s="67" t="s">
        <v>52</v>
      </c>
      <c r="B480" s="60"/>
      <c r="C480" s="60"/>
      <c r="D480" s="67" t="s">
        <v>53</v>
      </c>
      <c r="E480" s="60"/>
      <c r="F480" s="60"/>
      <c r="G480" s="29"/>
      <c r="H480" s="29"/>
      <c r="I480" s="30"/>
      <c r="J480" s="40">
        <v>1650000</v>
      </c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4.5">
      <c r="A481" s="68" t="s">
        <v>101</v>
      </c>
      <c r="B481" s="60"/>
      <c r="C481" s="60"/>
      <c r="D481" s="72" t="s">
        <v>102</v>
      </c>
      <c r="E481" s="60"/>
      <c r="F481" s="60"/>
      <c r="G481" s="29"/>
      <c r="H481" s="29"/>
      <c r="I481" s="30"/>
      <c r="J481" s="41">
        <v>1280000</v>
      </c>
      <c r="K481" s="29"/>
      <c r="L481" s="82" t="s">
        <v>56</v>
      </c>
      <c r="M481" s="60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4.5">
      <c r="A482" s="29"/>
      <c r="B482" s="29"/>
      <c r="C482" s="29"/>
      <c r="D482" s="68" t="s">
        <v>57</v>
      </c>
      <c r="E482" s="60"/>
      <c r="F482" s="60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4.5">
      <c r="A483" s="29"/>
      <c r="B483" s="29"/>
      <c r="C483" s="29"/>
      <c r="D483" s="35" t="s">
        <v>58</v>
      </c>
      <c r="E483" s="68" t="s">
        <v>470</v>
      </c>
      <c r="F483" s="60"/>
      <c r="G483" s="42" t="s">
        <v>471</v>
      </c>
      <c r="H483" s="87">
        <v>64000</v>
      </c>
      <c r="I483" s="60"/>
      <c r="J483" s="41">
        <v>1280000</v>
      </c>
      <c r="K483" s="29"/>
      <c r="L483" s="83"/>
      <c r="M483" s="60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4.5">
      <c r="A484" s="68" t="s">
        <v>54</v>
      </c>
      <c r="B484" s="60"/>
      <c r="C484" s="60"/>
      <c r="D484" s="72" t="s">
        <v>55</v>
      </c>
      <c r="E484" s="60"/>
      <c r="F484" s="60"/>
      <c r="G484" s="29"/>
      <c r="H484" s="29"/>
      <c r="I484" s="30"/>
      <c r="J484" s="41">
        <v>370000</v>
      </c>
      <c r="K484" s="29"/>
      <c r="L484" s="82" t="s">
        <v>56</v>
      </c>
      <c r="M484" s="60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4.5">
      <c r="A485" s="29"/>
      <c r="B485" s="29"/>
      <c r="C485" s="29"/>
      <c r="D485" s="68" t="s">
        <v>57</v>
      </c>
      <c r="E485" s="60"/>
      <c r="F485" s="60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4.5">
      <c r="A486" s="29"/>
      <c r="B486" s="29"/>
      <c r="C486" s="29"/>
      <c r="D486" s="35" t="s">
        <v>58</v>
      </c>
      <c r="E486" s="68" t="s">
        <v>472</v>
      </c>
      <c r="F486" s="60"/>
      <c r="G486" s="42" t="s">
        <v>118</v>
      </c>
      <c r="H486" s="87">
        <v>200000</v>
      </c>
      <c r="I486" s="60"/>
      <c r="J486" s="41">
        <v>200000</v>
      </c>
      <c r="K486" s="29"/>
      <c r="L486" s="83"/>
      <c r="M486" s="60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4.5">
      <c r="A487" s="29"/>
      <c r="B487" s="29"/>
      <c r="C487" s="29"/>
      <c r="D487" s="35" t="s">
        <v>58</v>
      </c>
      <c r="E487" s="68" t="s">
        <v>473</v>
      </c>
      <c r="F487" s="60"/>
      <c r="G487" s="42" t="s">
        <v>60</v>
      </c>
      <c r="H487" s="87">
        <v>170000</v>
      </c>
      <c r="I487" s="60"/>
      <c r="J487" s="41">
        <v>170000</v>
      </c>
      <c r="K487" s="29"/>
      <c r="L487" s="83"/>
      <c r="M487" s="60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4.5">
      <c r="A488" s="69" t="s">
        <v>474</v>
      </c>
      <c r="B488" s="60"/>
      <c r="C488" s="60"/>
      <c r="D488" s="69" t="s">
        <v>475</v>
      </c>
      <c r="E488" s="60"/>
      <c r="F488" s="60"/>
      <c r="G488" s="36" t="s">
        <v>476</v>
      </c>
      <c r="H488" s="29"/>
      <c r="I488" s="30"/>
      <c r="J488" s="37">
        <v>303593000</v>
      </c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4.5">
      <c r="A489" s="69" t="s">
        <v>88</v>
      </c>
      <c r="B489" s="60"/>
      <c r="C489" s="60"/>
      <c r="D489" s="69" t="s">
        <v>89</v>
      </c>
      <c r="E489" s="60"/>
      <c r="F489" s="60"/>
      <c r="G489" s="38" t="s">
        <v>50</v>
      </c>
      <c r="H489" s="29"/>
      <c r="I489" s="30"/>
      <c r="J489" s="37">
        <v>219776000</v>
      </c>
      <c r="K489" s="39" t="s">
        <v>51</v>
      </c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4.5">
      <c r="A490" s="67" t="s">
        <v>52</v>
      </c>
      <c r="B490" s="60"/>
      <c r="C490" s="60"/>
      <c r="D490" s="67" t="s">
        <v>53</v>
      </c>
      <c r="E490" s="60"/>
      <c r="F490" s="60"/>
      <c r="G490" s="29"/>
      <c r="H490" s="29"/>
      <c r="I490" s="30"/>
      <c r="J490" s="40">
        <v>219776000</v>
      </c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4.5">
      <c r="A491" s="68" t="s">
        <v>90</v>
      </c>
      <c r="B491" s="60"/>
      <c r="C491" s="60"/>
      <c r="D491" s="72" t="s">
        <v>91</v>
      </c>
      <c r="E491" s="60"/>
      <c r="F491" s="60"/>
      <c r="G491" s="29"/>
      <c r="H491" s="29"/>
      <c r="I491" s="30"/>
      <c r="J491" s="41">
        <v>185096000</v>
      </c>
      <c r="K491" s="29"/>
      <c r="L491" s="82" t="s">
        <v>56</v>
      </c>
      <c r="M491" s="60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4.5">
      <c r="A492" s="29"/>
      <c r="B492" s="29"/>
      <c r="C492" s="29"/>
      <c r="D492" s="68" t="s">
        <v>57</v>
      </c>
      <c r="E492" s="60"/>
      <c r="F492" s="60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4.5">
      <c r="A493" s="29"/>
      <c r="B493" s="29"/>
      <c r="C493" s="29"/>
      <c r="D493" s="35" t="s">
        <v>58</v>
      </c>
      <c r="E493" s="68" t="s">
        <v>477</v>
      </c>
      <c r="F493" s="60"/>
      <c r="G493" s="42" t="s">
        <v>478</v>
      </c>
      <c r="H493" s="87">
        <v>43000</v>
      </c>
      <c r="I493" s="60"/>
      <c r="J493" s="41">
        <v>10320000</v>
      </c>
      <c r="K493" s="29"/>
      <c r="L493" s="83"/>
      <c r="M493" s="60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4.5">
      <c r="A494" s="29"/>
      <c r="B494" s="29"/>
      <c r="C494" s="29"/>
      <c r="D494" s="35" t="s">
        <v>58</v>
      </c>
      <c r="E494" s="68" t="s">
        <v>479</v>
      </c>
      <c r="F494" s="60"/>
      <c r="G494" s="42" t="s">
        <v>480</v>
      </c>
      <c r="H494" s="87">
        <v>55000</v>
      </c>
      <c r="I494" s="60"/>
      <c r="J494" s="41">
        <v>1320000</v>
      </c>
      <c r="K494" s="29"/>
      <c r="L494" s="83"/>
      <c r="M494" s="60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4.5">
      <c r="A495" s="29"/>
      <c r="B495" s="29"/>
      <c r="C495" s="29"/>
      <c r="D495" s="35" t="s">
        <v>58</v>
      </c>
      <c r="E495" s="68" t="s">
        <v>481</v>
      </c>
      <c r="F495" s="60"/>
      <c r="G495" s="42" t="s">
        <v>482</v>
      </c>
      <c r="H495" s="87">
        <v>124000</v>
      </c>
      <c r="I495" s="60"/>
      <c r="J495" s="41">
        <v>24800000</v>
      </c>
      <c r="K495" s="29"/>
      <c r="L495" s="83"/>
      <c r="M495" s="60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4.5">
      <c r="A496" s="29"/>
      <c r="B496" s="29"/>
      <c r="C496" s="29"/>
      <c r="D496" s="35" t="s">
        <v>58</v>
      </c>
      <c r="E496" s="68" t="s">
        <v>483</v>
      </c>
      <c r="F496" s="60"/>
      <c r="G496" s="42" t="s">
        <v>482</v>
      </c>
      <c r="H496" s="87">
        <v>86000</v>
      </c>
      <c r="I496" s="60"/>
      <c r="J496" s="41">
        <v>17200000</v>
      </c>
      <c r="K496" s="29"/>
      <c r="L496" s="83"/>
      <c r="M496" s="60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4.5">
      <c r="A497" s="29"/>
      <c r="B497" s="29"/>
      <c r="C497" s="29"/>
      <c r="D497" s="35" t="s">
        <v>58</v>
      </c>
      <c r="E497" s="68" t="s">
        <v>484</v>
      </c>
      <c r="F497" s="60"/>
      <c r="G497" s="42" t="s">
        <v>485</v>
      </c>
      <c r="H497" s="87">
        <v>128000</v>
      </c>
      <c r="I497" s="60"/>
      <c r="J497" s="41">
        <v>74240000</v>
      </c>
      <c r="K497" s="29"/>
      <c r="L497" s="83"/>
      <c r="M497" s="60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4.5">
      <c r="A498" s="29"/>
      <c r="B498" s="29"/>
      <c r="C498" s="29"/>
      <c r="D498" s="35" t="s">
        <v>58</v>
      </c>
      <c r="E498" s="68" t="s">
        <v>486</v>
      </c>
      <c r="F498" s="60"/>
      <c r="G498" s="42" t="s">
        <v>487</v>
      </c>
      <c r="H498" s="87">
        <v>128000</v>
      </c>
      <c r="I498" s="60"/>
      <c r="J498" s="41">
        <v>12800000</v>
      </c>
      <c r="K498" s="29"/>
      <c r="L498" s="83"/>
      <c r="M498" s="60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4.5">
      <c r="A499" s="29"/>
      <c r="B499" s="29"/>
      <c r="C499" s="29"/>
      <c r="D499" s="35" t="s">
        <v>58</v>
      </c>
      <c r="E499" s="68" t="s">
        <v>488</v>
      </c>
      <c r="F499" s="60"/>
      <c r="G499" s="42" t="s">
        <v>489</v>
      </c>
      <c r="H499" s="87">
        <v>168000</v>
      </c>
      <c r="I499" s="60"/>
      <c r="J499" s="41">
        <v>9744000</v>
      </c>
      <c r="K499" s="29"/>
      <c r="L499" s="83"/>
      <c r="M499" s="60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4.5">
      <c r="A500" s="29"/>
      <c r="B500" s="29"/>
      <c r="C500" s="29"/>
      <c r="D500" s="35" t="s">
        <v>58</v>
      </c>
      <c r="E500" s="68" t="s">
        <v>490</v>
      </c>
      <c r="F500" s="60"/>
      <c r="G500" s="42" t="s">
        <v>491</v>
      </c>
      <c r="H500" s="87">
        <v>168000</v>
      </c>
      <c r="I500" s="60"/>
      <c r="J500" s="41">
        <v>1680000</v>
      </c>
      <c r="K500" s="29"/>
      <c r="L500" s="83"/>
      <c r="M500" s="60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4.5">
      <c r="A501" s="29"/>
      <c r="B501" s="29"/>
      <c r="C501" s="29"/>
      <c r="D501" s="35" t="s">
        <v>58</v>
      </c>
      <c r="E501" s="68" t="s">
        <v>492</v>
      </c>
      <c r="F501" s="60"/>
      <c r="G501" s="42" t="s">
        <v>482</v>
      </c>
      <c r="H501" s="87">
        <v>25000</v>
      </c>
      <c r="I501" s="60"/>
      <c r="J501" s="41">
        <v>5000000</v>
      </c>
      <c r="K501" s="29"/>
      <c r="L501" s="83"/>
      <c r="M501" s="60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4.5">
      <c r="A502" s="29"/>
      <c r="B502" s="29"/>
      <c r="C502" s="29"/>
      <c r="D502" s="35" t="s">
        <v>58</v>
      </c>
      <c r="E502" s="68" t="s">
        <v>493</v>
      </c>
      <c r="F502" s="60"/>
      <c r="G502" s="42" t="s">
        <v>482</v>
      </c>
      <c r="H502" s="87">
        <v>18000</v>
      </c>
      <c r="I502" s="60"/>
      <c r="J502" s="41">
        <v>3600000</v>
      </c>
      <c r="K502" s="29"/>
      <c r="L502" s="83"/>
      <c r="M502" s="60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4.5">
      <c r="A503" s="29"/>
      <c r="B503" s="29"/>
      <c r="C503" s="29"/>
      <c r="D503" s="35" t="s">
        <v>58</v>
      </c>
      <c r="E503" s="68" t="s">
        <v>494</v>
      </c>
      <c r="F503" s="60"/>
      <c r="G503" s="42" t="s">
        <v>485</v>
      </c>
      <c r="H503" s="87">
        <v>26000</v>
      </c>
      <c r="I503" s="60"/>
      <c r="J503" s="41">
        <v>15080000</v>
      </c>
      <c r="K503" s="29"/>
      <c r="L503" s="83"/>
      <c r="M503" s="60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4.5">
      <c r="A504" s="29"/>
      <c r="B504" s="29"/>
      <c r="C504" s="29"/>
      <c r="D504" s="35" t="s">
        <v>58</v>
      </c>
      <c r="E504" s="68" t="s">
        <v>495</v>
      </c>
      <c r="F504" s="60"/>
      <c r="G504" s="42" t="s">
        <v>487</v>
      </c>
      <c r="H504" s="87">
        <v>26000</v>
      </c>
      <c r="I504" s="60"/>
      <c r="J504" s="41">
        <v>2600000</v>
      </c>
      <c r="K504" s="29"/>
      <c r="L504" s="83"/>
      <c r="M504" s="60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4.5">
      <c r="A505" s="29"/>
      <c r="B505" s="29"/>
      <c r="C505" s="29"/>
      <c r="D505" s="35" t="s">
        <v>58</v>
      </c>
      <c r="E505" s="68" t="s">
        <v>496</v>
      </c>
      <c r="F505" s="60"/>
      <c r="G505" s="42" t="s">
        <v>497</v>
      </c>
      <c r="H505" s="87">
        <v>34000</v>
      </c>
      <c r="I505" s="60"/>
      <c r="J505" s="41">
        <v>1972000</v>
      </c>
      <c r="K505" s="29"/>
      <c r="L505" s="83"/>
      <c r="M505" s="60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4.5">
      <c r="A506" s="29"/>
      <c r="B506" s="29"/>
      <c r="C506" s="29"/>
      <c r="D506" s="35" t="s">
        <v>58</v>
      </c>
      <c r="E506" s="68" t="s">
        <v>498</v>
      </c>
      <c r="F506" s="60"/>
      <c r="G506" s="42" t="s">
        <v>499</v>
      </c>
      <c r="H506" s="87">
        <v>34000</v>
      </c>
      <c r="I506" s="60"/>
      <c r="J506" s="41">
        <v>340000</v>
      </c>
      <c r="K506" s="29"/>
      <c r="L506" s="83"/>
      <c r="M506" s="60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4.5">
      <c r="A507" s="29"/>
      <c r="B507" s="29"/>
      <c r="C507" s="29"/>
      <c r="D507" s="35" t="s">
        <v>58</v>
      </c>
      <c r="E507" s="68" t="s">
        <v>500</v>
      </c>
      <c r="F507" s="60"/>
      <c r="G507" s="42" t="s">
        <v>501</v>
      </c>
      <c r="H507" s="87">
        <v>29000</v>
      </c>
      <c r="I507" s="60"/>
      <c r="J507" s="41">
        <v>4060000</v>
      </c>
      <c r="K507" s="29"/>
      <c r="L507" s="83"/>
      <c r="M507" s="60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4.5">
      <c r="A508" s="29"/>
      <c r="B508" s="29"/>
      <c r="C508" s="29"/>
      <c r="D508" s="35" t="s">
        <v>58</v>
      </c>
      <c r="E508" s="68" t="s">
        <v>498</v>
      </c>
      <c r="F508" s="60"/>
      <c r="G508" s="42" t="s">
        <v>499</v>
      </c>
      <c r="H508" s="87">
        <v>34000</v>
      </c>
      <c r="I508" s="60"/>
      <c r="J508" s="41">
        <v>340000</v>
      </c>
      <c r="K508" s="29"/>
      <c r="L508" s="83"/>
      <c r="M508" s="60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4.5">
      <c r="A509" s="68" t="s">
        <v>54</v>
      </c>
      <c r="B509" s="60"/>
      <c r="C509" s="60"/>
      <c r="D509" s="72" t="s">
        <v>55</v>
      </c>
      <c r="E509" s="60"/>
      <c r="F509" s="60"/>
      <c r="G509" s="29"/>
      <c r="H509" s="29"/>
      <c r="I509" s="30"/>
      <c r="J509" s="41">
        <v>34680000</v>
      </c>
      <c r="K509" s="29"/>
      <c r="L509" s="82" t="s">
        <v>56</v>
      </c>
      <c r="M509" s="60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4.5">
      <c r="A510" s="29"/>
      <c r="B510" s="29"/>
      <c r="C510" s="29"/>
      <c r="D510" s="68" t="s">
        <v>57</v>
      </c>
      <c r="E510" s="60"/>
      <c r="F510" s="60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4.5">
      <c r="A511" s="29"/>
      <c r="B511" s="29"/>
      <c r="C511" s="29"/>
      <c r="D511" s="35" t="s">
        <v>58</v>
      </c>
      <c r="E511" s="68" t="s">
        <v>502</v>
      </c>
      <c r="F511" s="60"/>
      <c r="G511" s="42" t="s">
        <v>503</v>
      </c>
      <c r="H511" s="87">
        <v>170000</v>
      </c>
      <c r="I511" s="60"/>
      <c r="J511" s="41">
        <v>7310000</v>
      </c>
      <c r="K511" s="29"/>
      <c r="L511" s="83"/>
      <c r="M511" s="60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4.5">
      <c r="A512" s="29"/>
      <c r="B512" s="29"/>
      <c r="C512" s="29"/>
      <c r="D512" s="35" t="s">
        <v>58</v>
      </c>
      <c r="E512" s="68" t="s">
        <v>504</v>
      </c>
      <c r="F512" s="60"/>
      <c r="G512" s="42" t="s">
        <v>134</v>
      </c>
      <c r="H512" s="87">
        <v>170000</v>
      </c>
      <c r="I512" s="60"/>
      <c r="J512" s="41">
        <v>850000</v>
      </c>
      <c r="K512" s="29"/>
      <c r="L512" s="83"/>
      <c r="M512" s="60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4.5">
      <c r="A513" s="29"/>
      <c r="B513" s="29"/>
      <c r="C513" s="29"/>
      <c r="D513" s="35" t="s">
        <v>58</v>
      </c>
      <c r="E513" s="68" t="s">
        <v>505</v>
      </c>
      <c r="F513" s="60"/>
      <c r="G513" s="42" t="s">
        <v>471</v>
      </c>
      <c r="H513" s="87">
        <v>170000</v>
      </c>
      <c r="I513" s="60"/>
      <c r="J513" s="41">
        <v>3400000</v>
      </c>
      <c r="K513" s="29"/>
      <c r="L513" s="83"/>
      <c r="M513" s="60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4.5">
      <c r="A514" s="29"/>
      <c r="B514" s="29"/>
      <c r="C514" s="29"/>
      <c r="D514" s="35" t="s">
        <v>58</v>
      </c>
      <c r="E514" s="68" t="s">
        <v>506</v>
      </c>
      <c r="F514" s="60"/>
      <c r="G514" s="42" t="s">
        <v>507</v>
      </c>
      <c r="H514" s="87">
        <v>170000</v>
      </c>
      <c r="I514" s="60"/>
      <c r="J514" s="41">
        <v>4760000</v>
      </c>
      <c r="K514" s="29"/>
      <c r="L514" s="83"/>
      <c r="M514" s="60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4.5">
      <c r="A515" s="29"/>
      <c r="B515" s="29"/>
      <c r="C515" s="29"/>
      <c r="D515" s="35" t="s">
        <v>58</v>
      </c>
      <c r="E515" s="68" t="s">
        <v>508</v>
      </c>
      <c r="F515" s="60"/>
      <c r="G515" s="42" t="s">
        <v>509</v>
      </c>
      <c r="H515" s="87">
        <v>170000</v>
      </c>
      <c r="I515" s="60"/>
      <c r="J515" s="41">
        <v>7820000</v>
      </c>
      <c r="K515" s="29"/>
      <c r="L515" s="83"/>
      <c r="M515" s="60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4.5">
      <c r="A516" s="29"/>
      <c r="B516" s="29"/>
      <c r="C516" s="29"/>
      <c r="D516" s="35" t="s">
        <v>58</v>
      </c>
      <c r="E516" s="68" t="s">
        <v>510</v>
      </c>
      <c r="F516" s="60"/>
      <c r="G516" s="42" t="s">
        <v>328</v>
      </c>
      <c r="H516" s="87">
        <v>170000</v>
      </c>
      <c r="I516" s="60"/>
      <c r="J516" s="41">
        <v>2380000</v>
      </c>
      <c r="K516" s="29"/>
      <c r="L516" s="83"/>
      <c r="M516" s="60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4.5">
      <c r="A517" s="29"/>
      <c r="B517" s="29"/>
      <c r="C517" s="29"/>
      <c r="D517" s="35" t="s">
        <v>58</v>
      </c>
      <c r="E517" s="68" t="s">
        <v>511</v>
      </c>
      <c r="F517" s="60"/>
      <c r="G517" s="42" t="s">
        <v>112</v>
      </c>
      <c r="H517" s="87">
        <v>170000</v>
      </c>
      <c r="I517" s="60"/>
      <c r="J517" s="41">
        <v>1020000</v>
      </c>
      <c r="K517" s="29"/>
      <c r="L517" s="83"/>
      <c r="M517" s="60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4.5">
      <c r="A518" s="29"/>
      <c r="B518" s="29"/>
      <c r="C518" s="29"/>
      <c r="D518" s="35" t="s">
        <v>58</v>
      </c>
      <c r="E518" s="68" t="s">
        <v>512</v>
      </c>
      <c r="F518" s="60"/>
      <c r="G518" s="42" t="s">
        <v>97</v>
      </c>
      <c r="H518" s="87">
        <v>170000</v>
      </c>
      <c r="I518" s="60"/>
      <c r="J518" s="41">
        <v>340000</v>
      </c>
      <c r="K518" s="29"/>
      <c r="L518" s="83"/>
      <c r="M518" s="60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4.5">
      <c r="A519" s="29"/>
      <c r="B519" s="29"/>
      <c r="C519" s="29"/>
      <c r="D519" s="35" t="s">
        <v>58</v>
      </c>
      <c r="E519" s="68" t="s">
        <v>513</v>
      </c>
      <c r="F519" s="60"/>
      <c r="G519" s="42" t="s">
        <v>514</v>
      </c>
      <c r="H519" s="87">
        <v>170000</v>
      </c>
      <c r="I519" s="60"/>
      <c r="J519" s="41">
        <v>2890000</v>
      </c>
      <c r="K519" s="29"/>
      <c r="L519" s="83"/>
      <c r="M519" s="60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4.5">
      <c r="A520" s="29"/>
      <c r="B520" s="29"/>
      <c r="C520" s="29"/>
      <c r="D520" s="35" t="s">
        <v>58</v>
      </c>
      <c r="E520" s="68" t="s">
        <v>515</v>
      </c>
      <c r="F520" s="60"/>
      <c r="G520" s="42" t="s">
        <v>444</v>
      </c>
      <c r="H520" s="87">
        <v>170000</v>
      </c>
      <c r="I520" s="60"/>
      <c r="J520" s="41">
        <v>1700000</v>
      </c>
      <c r="K520" s="29"/>
      <c r="L520" s="83"/>
      <c r="M520" s="60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4.5">
      <c r="A521" s="29"/>
      <c r="B521" s="29"/>
      <c r="C521" s="29"/>
      <c r="D521" s="35" t="s">
        <v>58</v>
      </c>
      <c r="E521" s="68" t="s">
        <v>516</v>
      </c>
      <c r="F521" s="60"/>
      <c r="G521" s="42" t="s">
        <v>517</v>
      </c>
      <c r="H521" s="87">
        <v>170000</v>
      </c>
      <c r="I521" s="60"/>
      <c r="J521" s="41">
        <v>2210000</v>
      </c>
      <c r="K521" s="29"/>
      <c r="L521" s="83"/>
      <c r="M521" s="60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4.5">
      <c r="A522" s="69" t="s">
        <v>99</v>
      </c>
      <c r="B522" s="60"/>
      <c r="C522" s="60"/>
      <c r="D522" s="69" t="s">
        <v>100</v>
      </c>
      <c r="E522" s="60"/>
      <c r="F522" s="60"/>
      <c r="G522" s="38" t="s">
        <v>50</v>
      </c>
      <c r="H522" s="29"/>
      <c r="I522" s="30"/>
      <c r="J522" s="37">
        <v>83017000</v>
      </c>
      <c r="K522" s="39" t="s">
        <v>51</v>
      </c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4.5">
      <c r="A523" s="67" t="s">
        <v>52</v>
      </c>
      <c r="B523" s="60"/>
      <c r="C523" s="60"/>
      <c r="D523" s="67" t="s">
        <v>53</v>
      </c>
      <c r="E523" s="60"/>
      <c r="F523" s="60"/>
      <c r="G523" s="29"/>
      <c r="H523" s="29"/>
      <c r="I523" s="30"/>
      <c r="J523" s="40">
        <v>83017000</v>
      </c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4.5">
      <c r="A524" s="68" t="s">
        <v>101</v>
      </c>
      <c r="B524" s="60"/>
      <c r="C524" s="60"/>
      <c r="D524" s="72" t="s">
        <v>102</v>
      </c>
      <c r="E524" s="60"/>
      <c r="F524" s="60"/>
      <c r="G524" s="29"/>
      <c r="H524" s="29"/>
      <c r="I524" s="30"/>
      <c r="J524" s="41">
        <v>4340000</v>
      </c>
      <c r="K524" s="29"/>
      <c r="L524" s="82" t="s">
        <v>56</v>
      </c>
      <c r="M524" s="60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4.5">
      <c r="A525" s="29"/>
      <c r="B525" s="29"/>
      <c r="C525" s="29"/>
      <c r="D525" s="68" t="s">
        <v>57</v>
      </c>
      <c r="E525" s="60"/>
      <c r="F525" s="60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4.5">
      <c r="A526" s="29"/>
      <c r="B526" s="29"/>
      <c r="C526" s="29"/>
      <c r="D526" s="35" t="s">
        <v>58</v>
      </c>
      <c r="E526" s="68" t="s">
        <v>518</v>
      </c>
      <c r="F526" s="60"/>
      <c r="G526" s="42" t="s">
        <v>116</v>
      </c>
      <c r="H526" s="87">
        <v>50000</v>
      </c>
      <c r="I526" s="60"/>
      <c r="J526" s="41">
        <v>400000</v>
      </c>
      <c r="K526" s="29"/>
      <c r="L526" s="83"/>
      <c r="M526" s="60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4.5">
      <c r="A527" s="29"/>
      <c r="B527" s="29"/>
      <c r="C527" s="29"/>
      <c r="D527" s="35" t="s">
        <v>58</v>
      </c>
      <c r="E527" s="68" t="s">
        <v>519</v>
      </c>
      <c r="F527" s="60"/>
      <c r="G527" s="42" t="s">
        <v>520</v>
      </c>
      <c r="H527" s="87">
        <v>50000</v>
      </c>
      <c r="I527" s="60"/>
      <c r="J527" s="41">
        <v>1300000</v>
      </c>
      <c r="K527" s="29"/>
      <c r="L527" s="83"/>
      <c r="M527" s="60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4.5">
      <c r="A528" s="29"/>
      <c r="B528" s="29"/>
      <c r="C528" s="29"/>
      <c r="D528" s="35" t="s">
        <v>58</v>
      </c>
      <c r="E528" s="68" t="s">
        <v>521</v>
      </c>
      <c r="F528" s="60"/>
      <c r="G528" s="42" t="s">
        <v>522</v>
      </c>
      <c r="H528" s="87">
        <v>50000</v>
      </c>
      <c r="I528" s="60"/>
      <c r="J528" s="41">
        <v>2550000</v>
      </c>
      <c r="K528" s="29"/>
      <c r="L528" s="83"/>
      <c r="M528" s="60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4.5">
      <c r="A529" s="29"/>
      <c r="B529" s="29"/>
      <c r="C529" s="29"/>
      <c r="D529" s="35" t="s">
        <v>58</v>
      </c>
      <c r="E529" s="68" t="s">
        <v>523</v>
      </c>
      <c r="F529" s="60"/>
      <c r="G529" s="42" t="s">
        <v>524</v>
      </c>
      <c r="H529" s="87">
        <v>30000</v>
      </c>
      <c r="I529" s="60"/>
      <c r="J529" s="41">
        <v>90000</v>
      </c>
      <c r="K529" s="29"/>
      <c r="L529" s="83"/>
      <c r="M529" s="60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4.5">
      <c r="A530" s="68" t="s">
        <v>90</v>
      </c>
      <c r="B530" s="60"/>
      <c r="C530" s="60"/>
      <c r="D530" s="72" t="s">
        <v>91</v>
      </c>
      <c r="E530" s="60"/>
      <c r="F530" s="60"/>
      <c r="G530" s="29"/>
      <c r="H530" s="29"/>
      <c r="I530" s="30"/>
      <c r="J530" s="41">
        <v>7992000</v>
      </c>
      <c r="K530" s="29"/>
      <c r="L530" s="82" t="s">
        <v>56</v>
      </c>
      <c r="M530" s="60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4.5">
      <c r="A531" s="29"/>
      <c r="B531" s="29"/>
      <c r="C531" s="29"/>
      <c r="D531" s="68" t="s">
        <v>57</v>
      </c>
      <c r="E531" s="60"/>
      <c r="F531" s="60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4.5">
      <c r="A532" s="29"/>
      <c r="B532" s="29"/>
      <c r="C532" s="29"/>
      <c r="D532" s="35" t="s">
        <v>58</v>
      </c>
      <c r="E532" s="68" t="s">
        <v>525</v>
      </c>
      <c r="F532" s="60"/>
      <c r="G532" s="42" t="s">
        <v>526</v>
      </c>
      <c r="H532" s="87">
        <v>111000</v>
      </c>
      <c r="I532" s="60"/>
      <c r="J532" s="41">
        <v>4995000</v>
      </c>
      <c r="K532" s="29"/>
      <c r="L532" s="83"/>
      <c r="M532" s="60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4.5">
      <c r="A533" s="29"/>
      <c r="B533" s="29"/>
      <c r="C533" s="29"/>
      <c r="D533" s="35" t="s">
        <v>58</v>
      </c>
      <c r="E533" s="68" t="s">
        <v>527</v>
      </c>
      <c r="F533" s="60"/>
      <c r="G533" s="42" t="s">
        <v>528</v>
      </c>
      <c r="H533" s="87">
        <v>111000</v>
      </c>
      <c r="I533" s="60"/>
      <c r="J533" s="41">
        <v>2997000</v>
      </c>
      <c r="K533" s="29"/>
      <c r="L533" s="83"/>
      <c r="M533" s="60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4.5">
      <c r="A534" s="68" t="s">
        <v>107</v>
      </c>
      <c r="B534" s="60"/>
      <c r="C534" s="60"/>
      <c r="D534" s="72" t="s">
        <v>108</v>
      </c>
      <c r="E534" s="60"/>
      <c r="F534" s="60"/>
      <c r="G534" s="29"/>
      <c r="H534" s="29"/>
      <c r="I534" s="30"/>
      <c r="J534" s="41">
        <v>31485000</v>
      </c>
      <c r="K534" s="29"/>
      <c r="L534" s="82" t="s">
        <v>56</v>
      </c>
      <c r="M534" s="60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4.5">
      <c r="A535" s="29"/>
      <c r="B535" s="29"/>
      <c r="C535" s="29"/>
      <c r="D535" s="68" t="s">
        <v>57</v>
      </c>
      <c r="E535" s="60"/>
      <c r="F535" s="60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4.5">
      <c r="A536" s="29"/>
      <c r="B536" s="29"/>
      <c r="C536" s="29"/>
      <c r="D536" s="35" t="s">
        <v>58</v>
      </c>
      <c r="E536" s="68" t="s">
        <v>529</v>
      </c>
      <c r="F536" s="60"/>
      <c r="G536" s="42" t="s">
        <v>530</v>
      </c>
      <c r="H536" s="87">
        <v>600</v>
      </c>
      <c r="I536" s="60"/>
      <c r="J536" s="41">
        <v>528000</v>
      </c>
      <c r="K536" s="29"/>
      <c r="L536" s="83"/>
      <c r="M536" s="60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4.5">
      <c r="A537" s="29"/>
      <c r="B537" s="29"/>
      <c r="C537" s="29"/>
      <c r="D537" s="35" t="s">
        <v>58</v>
      </c>
      <c r="E537" s="68" t="s">
        <v>531</v>
      </c>
      <c r="F537" s="60"/>
      <c r="G537" s="42" t="s">
        <v>532</v>
      </c>
      <c r="H537" s="87">
        <v>600</v>
      </c>
      <c r="I537" s="60"/>
      <c r="J537" s="41">
        <v>6192000</v>
      </c>
      <c r="K537" s="29"/>
      <c r="L537" s="83"/>
      <c r="M537" s="60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4.5">
      <c r="A538" s="29"/>
      <c r="B538" s="29"/>
      <c r="C538" s="29"/>
      <c r="D538" s="35" t="s">
        <v>58</v>
      </c>
      <c r="E538" s="68" t="s">
        <v>533</v>
      </c>
      <c r="F538" s="60"/>
      <c r="G538" s="42" t="s">
        <v>534</v>
      </c>
      <c r="H538" s="87">
        <v>600</v>
      </c>
      <c r="I538" s="60"/>
      <c r="J538" s="41">
        <v>1950000</v>
      </c>
      <c r="K538" s="29"/>
      <c r="L538" s="83"/>
      <c r="M538" s="60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4.5">
      <c r="A539" s="29"/>
      <c r="B539" s="29"/>
      <c r="C539" s="29"/>
      <c r="D539" s="35" t="s">
        <v>58</v>
      </c>
      <c r="E539" s="68" t="s">
        <v>535</v>
      </c>
      <c r="F539" s="60"/>
      <c r="G539" s="42" t="s">
        <v>536</v>
      </c>
      <c r="H539" s="87">
        <v>600</v>
      </c>
      <c r="I539" s="60"/>
      <c r="J539" s="41">
        <v>13398000</v>
      </c>
      <c r="K539" s="29"/>
      <c r="L539" s="83"/>
      <c r="M539" s="60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4.5">
      <c r="A540" s="29"/>
      <c r="B540" s="29"/>
      <c r="C540" s="29"/>
      <c r="D540" s="35" t="s">
        <v>58</v>
      </c>
      <c r="E540" s="68" t="s">
        <v>537</v>
      </c>
      <c r="F540" s="60"/>
      <c r="G540" s="42" t="s">
        <v>538</v>
      </c>
      <c r="H540" s="87">
        <v>600</v>
      </c>
      <c r="I540" s="60"/>
      <c r="J540" s="41">
        <v>2310000</v>
      </c>
      <c r="K540" s="29"/>
      <c r="L540" s="83"/>
      <c r="M540" s="60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4.5">
      <c r="A541" s="29"/>
      <c r="B541" s="29"/>
      <c r="C541" s="29"/>
      <c r="D541" s="35" t="s">
        <v>58</v>
      </c>
      <c r="E541" s="68" t="s">
        <v>539</v>
      </c>
      <c r="F541" s="60"/>
      <c r="G541" s="42" t="s">
        <v>540</v>
      </c>
      <c r="H541" s="87">
        <v>600</v>
      </c>
      <c r="I541" s="60"/>
      <c r="J541" s="41">
        <v>908000</v>
      </c>
      <c r="K541" s="29"/>
      <c r="L541" s="83"/>
      <c r="M541" s="60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4.5">
      <c r="A542" s="29"/>
      <c r="B542" s="29"/>
      <c r="C542" s="29"/>
      <c r="D542" s="35" t="s">
        <v>58</v>
      </c>
      <c r="E542" s="68" t="s">
        <v>541</v>
      </c>
      <c r="F542" s="60"/>
      <c r="G542" s="42" t="s">
        <v>542</v>
      </c>
      <c r="H542" s="87">
        <v>600</v>
      </c>
      <c r="I542" s="60"/>
      <c r="J542" s="41">
        <v>241000</v>
      </c>
      <c r="K542" s="29"/>
      <c r="L542" s="83"/>
      <c r="M542" s="60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4.5">
      <c r="A543" s="29"/>
      <c r="B543" s="29"/>
      <c r="C543" s="29"/>
      <c r="D543" s="35" t="s">
        <v>58</v>
      </c>
      <c r="E543" s="68" t="s">
        <v>543</v>
      </c>
      <c r="F543" s="60"/>
      <c r="G543" s="42" t="s">
        <v>544</v>
      </c>
      <c r="H543" s="87">
        <v>591</v>
      </c>
      <c r="I543" s="60"/>
      <c r="J543" s="41">
        <v>26000</v>
      </c>
      <c r="K543" s="29"/>
      <c r="L543" s="83"/>
      <c r="M543" s="60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4.5">
      <c r="A544" s="29"/>
      <c r="B544" s="29"/>
      <c r="C544" s="29"/>
      <c r="D544" s="35" t="s">
        <v>58</v>
      </c>
      <c r="E544" s="68" t="s">
        <v>545</v>
      </c>
      <c r="F544" s="60"/>
      <c r="G544" s="42" t="s">
        <v>546</v>
      </c>
      <c r="H544" s="87">
        <v>600</v>
      </c>
      <c r="I544" s="60"/>
      <c r="J544" s="41">
        <v>1056000</v>
      </c>
      <c r="K544" s="29"/>
      <c r="L544" s="83"/>
      <c r="M544" s="60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4.5">
      <c r="A545" s="29"/>
      <c r="B545" s="29"/>
      <c r="C545" s="29"/>
      <c r="D545" s="35" t="s">
        <v>58</v>
      </c>
      <c r="E545" s="68" t="s">
        <v>547</v>
      </c>
      <c r="F545" s="60"/>
      <c r="G545" s="42" t="s">
        <v>548</v>
      </c>
      <c r="H545" s="87">
        <v>600</v>
      </c>
      <c r="I545" s="60"/>
      <c r="J545" s="41">
        <v>2112000</v>
      </c>
      <c r="K545" s="29"/>
      <c r="L545" s="83"/>
      <c r="M545" s="60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4.5">
      <c r="A546" s="29"/>
      <c r="B546" s="29"/>
      <c r="C546" s="29"/>
      <c r="D546" s="35" t="s">
        <v>58</v>
      </c>
      <c r="E546" s="68" t="s">
        <v>549</v>
      </c>
      <c r="F546" s="60"/>
      <c r="G546" s="42" t="s">
        <v>550</v>
      </c>
      <c r="H546" s="87">
        <v>600</v>
      </c>
      <c r="I546" s="60"/>
      <c r="J546" s="41">
        <v>264000</v>
      </c>
      <c r="K546" s="29"/>
      <c r="L546" s="83"/>
      <c r="M546" s="60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4.5">
      <c r="A547" s="29"/>
      <c r="B547" s="29"/>
      <c r="C547" s="29"/>
      <c r="D547" s="35" t="s">
        <v>58</v>
      </c>
      <c r="E547" s="68" t="s">
        <v>392</v>
      </c>
      <c r="F547" s="60"/>
      <c r="G547" s="42" t="s">
        <v>452</v>
      </c>
      <c r="H547" s="87">
        <v>437500</v>
      </c>
      <c r="I547" s="60"/>
      <c r="J547" s="41">
        <v>1750000</v>
      </c>
      <c r="K547" s="29"/>
      <c r="L547" s="83"/>
      <c r="M547" s="60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4.5">
      <c r="A548" s="29"/>
      <c r="B548" s="29"/>
      <c r="C548" s="29"/>
      <c r="D548" s="35" t="s">
        <v>58</v>
      </c>
      <c r="E548" s="68" t="s">
        <v>146</v>
      </c>
      <c r="F548" s="60"/>
      <c r="G548" s="42" t="s">
        <v>452</v>
      </c>
      <c r="H548" s="87">
        <v>187500</v>
      </c>
      <c r="I548" s="60"/>
      <c r="J548" s="41">
        <v>750000</v>
      </c>
      <c r="K548" s="29"/>
      <c r="L548" s="83"/>
      <c r="M548" s="60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4.5">
      <c r="A549" s="68" t="s">
        <v>54</v>
      </c>
      <c r="B549" s="60"/>
      <c r="C549" s="60"/>
      <c r="D549" s="72" t="s">
        <v>55</v>
      </c>
      <c r="E549" s="60"/>
      <c r="F549" s="60"/>
      <c r="G549" s="29"/>
      <c r="H549" s="29"/>
      <c r="I549" s="30"/>
      <c r="J549" s="41">
        <v>1360000</v>
      </c>
      <c r="K549" s="29"/>
      <c r="L549" s="82" t="s">
        <v>56</v>
      </c>
      <c r="M549" s="60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4.5">
      <c r="A550" s="29"/>
      <c r="B550" s="29"/>
      <c r="C550" s="29"/>
      <c r="D550" s="68" t="s">
        <v>57</v>
      </c>
      <c r="E550" s="60"/>
      <c r="F550" s="60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4.5">
      <c r="A551" s="29"/>
      <c r="B551" s="29"/>
      <c r="C551" s="29"/>
      <c r="D551" s="35" t="s">
        <v>58</v>
      </c>
      <c r="E551" s="68" t="s">
        <v>551</v>
      </c>
      <c r="F551" s="60"/>
      <c r="G551" s="42" t="s">
        <v>69</v>
      </c>
      <c r="H551" s="87">
        <v>170000</v>
      </c>
      <c r="I551" s="60"/>
      <c r="J551" s="41">
        <v>510000</v>
      </c>
      <c r="K551" s="29"/>
      <c r="L551" s="83"/>
      <c r="M551" s="60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4.5">
      <c r="A552" s="29"/>
      <c r="B552" s="29"/>
      <c r="C552" s="29"/>
      <c r="D552" s="35" t="s">
        <v>58</v>
      </c>
      <c r="E552" s="68" t="s">
        <v>552</v>
      </c>
      <c r="F552" s="60"/>
      <c r="G552" s="42" t="s">
        <v>134</v>
      </c>
      <c r="H552" s="87">
        <v>170000</v>
      </c>
      <c r="I552" s="60"/>
      <c r="J552" s="41">
        <v>850000</v>
      </c>
      <c r="K552" s="29"/>
      <c r="L552" s="83"/>
      <c r="M552" s="60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4.5">
      <c r="A553" s="68" t="s">
        <v>150</v>
      </c>
      <c r="B553" s="60"/>
      <c r="C553" s="60"/>
      <c r="D553" s="72" t="s">
        <v>151</v>
      </c>
      <c r="E553" s="60"/>
      <c r="F553" s="60"/>
      <c r="G553" s="29"/>
      <c r="H553" s="29"/>
      <c r="I553" s="30"/>
      <c r="J553" s="41">
        <v>37840000</v>
      </c>
      <c r="K553" s="29"/>
      <c r="L553" s="82" t="s">
        <v>56</v>
      </c>
      <c r="M553" s="60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4.5">
      <c r="A554" s="29"/>
      <c r="B554" s="29"/>
      <c r="C554" s="29"/>
      <c r="D554" s="68" t="s">
        <v>57</v>
      </c>
      <c r="E554" s="60"/>
      <c r="F554" s="60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4.5">
      <c r="A555" s="29"/>
      <c r="B555" s="29"/>
      <c r="C555" s="29"/>
      <c r="D555" s="35" t="s">
        <v>58</v>
      </c>
      <c r="E555" s="68" t="s">
        <v>553</v>
      </c>
      <c r="F555" s="60"/>
      <c r="G555" s="42" t="s">
        <v>554</v>
      </c>
      <c r="H555" s="87">
        <v>180000</v>
      </c>
      <c r="I555" s="60"/>
      <c r="J555" s="41">
        <v>23220000</v>
      </c>
      <c r="K555" s="29"/>
      <c r="L555" s="83"/>
      <c r="M555" s="60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4.5">
      <c r="A556" s="29"/>
      <c r="B556" s="29"/>
      <c r="C556" s="29"/>
      <c r="D556" s="35" t="s">
        <v>58</v>
      </c>
      <c r="E556" s="68" t="s">
        <v>555</v>
      </c>
      <c r="F556" s="60"/>
      <c r="G556" s="42" t="s">
        <v>556</v>
      </c>
      <c r="H556" s="87">
        <v>252080</v>
      </c>
      <c r="I556" s="60"/>
      <c r="J556" s="41">
        <v>14620000</v>
      </c>
      <c r="K556" s="29"/>
      <c r="L556" s="83"/>
      <c r="M556" s="60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4.5">
      <c r="A557" s="69" t="s">
        <v>48</v>
      </c>
      <c r="B557" s="60"/>
      <c r="C557" s="60"/>
      <c r="D557" s="69" t="s">
        <v>49</v>
      </c>
      <c r="E557" s="60"/>
      <c r="F557" s="60"/>
      <c r="G557" s="38" t="s">
        <v>50</v>
      </c>
      <c r="H557" s="29"/>
      <c r="I557" s="30"/>
      <c r="J557" s="37">
        <v>800000</v>
      </c>
      <c r="K557" s="39" t="s">
        <v>51</v>
      </c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4.5">
      <c r="A558" s="67" t="s">
        <v>52</v>
      </c>
      <c r="B558" s="60"/>
      <c r="C558" s="60"/>
      <c r="D558" s="67" t="s">
        <v>53</v>
      </c>
      <c r="E558" s="60"/>
      <c r="F558" s="60"/>
      <c r="G558" s="29"/>
      <c r="H558" s="29"/>
      <c r="I558" s="30"/>
      <c r="J558" s="40">
        <v>800000</v>
      </c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4.5">
      <c r="A559" s="68" t="s">
        <v>54</v>
      </c>
      <c r="B559" s="60"/>
      <c r="C559" s="60"/>
      <c r="D559" s="72" t="s">
        <v>55</v>
      </c>
      <c r="E559" s="60"/>
      <c r="F559" s="60"/>
      <c r="G559" s="29"/>
      <c r="H559" s="29"/>
      <c r="I559" s="30"/>
      <c r="J559" s="41">
        <v>800000</v>
      </c>
      <c r="K559" s="29"/>
      <c r="L559" s="82" t="s">
        <v>56</v>
      </c>
      <c r="M559" s="60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4.5">
      <c r="A560" s="29"/>
      <c r="B560" s="29"/>
      <c r="C560" s="29"/>
      <c r="D560" s="68" t="s">
        <v>57</v>
      </c>
      <c r="E560" s="60"/>
      <c r="F560" s="60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4.5">
      <c r="A561" s="29"/>
      <c r="B561" s="29"/>
      <c r="C561" s="29"/>
      <c r="D561" s="35" t="s">
        <v>58</v>
      </c>
      <c r="E561" s="68" t="s">
        <v>557</v>
      </c>
      <c r="F561" s="60"/>
      <c r="G561" s="42" t="s">
        <v>275</v>
      </c>
      <c r="H561" s="87">
        <v>200000</v>
      </c>
      <c r="I561" s="60"/>
      <c r="J561" s="41">
        <v>400000</v>
      </c>
      <c r="K561" s="29"/>
      <c r="L561" s="83"/>
      <c r="M561" s="60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4.5">
      <c r="A562" s="29"/>
      <c r="B562" s="29"/>
      <c r="C562" s="29"/>
      <c r="D562" s="35" t="s">
        <v>58</v>
      </c>
      <c r="E562" s="68" t="s">
        <v>558</v>
      </c>
      <c r="F562" s="60"/>
      <c r="G562" s="42" t="s">
        <v>118</v>
      </c>
      <c r="H562" s="87">
        <v>200000</v>
      </c>
      <c r="I562" s="60"/>
      <c r="J562" s="41">
        <v>200000</v>
      </c>
      <c r="K562" s="29"/>
      <c r="L562" s="83"/>
      <c r="M562" s="60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4.5">
      <c r="A563" s="29"/>
      <c r="B563" s="29"/>
      <c r="C563" s="29"/>
      <c r="D563" s="35" t="s">
        <v>58</v>
      </c>
      <c r="E563" s="68" t="s">
        <v>559</v>
      </c>
      <c r="F563" s="60"/>
      <c r="G563" s="42" t="s">
        <v>118</v>
      </c>
      <c r="H563" s="87">
        <v>200000</v>
      </c>
      <c r="I563" s="60"/>
      <c r="J563" s="41">
        <v>200000</v>
      </c>
      <c r="K563" s="29"/>
      <c r="L563" s="83"/>
      <c r="M563" s="60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4.5">
      <c r="A564" s="70" t="s">
        <v>560</v>
      </c>
      <c r="B564" s="60"/>
      <c r="C564" s="60"/>
      <c r="D564" s="70" t="s">
        <v>561</v>
      </c>
      <c r="E564" s="60"/>
      <c r="F564" s="60"/>
      <c r="G564" s="29"/>
      <c r="H564" s="29"/>
      <c r="I564" s="30"/>
      <c r="J564" s="32">
        <v>15231000</v>
      </c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7.5">
      <c r="A565" s="71" t="s">
        <v>562</v>
      </c>
      <c r="B565" s="60"/>
      <c r="C565" s="60"/>
      <c r="D565" s="71" t="s">
        <v>42</v>
      </c>
      <c r="E565" s="60"/>
      <c r="F565" s="60"/>
      <c r="G565" s="33" t="s">
        <v>64</v>
      </c>
      <c r="H565" s="29"/>
      <c r="I565" s="30"/>
      <c r="J565" s="34">
        <v>5125000</v>
      </c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4.5">
      <c r="A566" s="29"/>
      <c r="B566" s="29"/>
      <c r="C566" s="29"/>
      <c r="D566" s="68" t="s">
        <v>44</v>
      </c>
      <c r="E566" s="60"/>
      <c r="F566" s="60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4.5">
      <c r="A567" s="69" t="s">
        <v>563</v>
      </c>
      <c r="B567" s="60"/>
      <c r="C567" s="60"/>
      <c r="D567" s="69" t="s">
        <v>564</v>
      </c>
      <c r="E567" s="60"/>
      <c r="F567" s="60"/>
      <c r="G567" s="36" t="s">
        <v>47</v>
      </c>
      <c r="H567" s="29"/>
      <c r="I567" s="30"/>
      <c r="J567" s="37">
        <v>465000</v>
      </c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4.5">
      <c r="A568" s="69" t="s">
        <v>99</v>
      </c>
      <c r="B568" s="60"/>
      <c r="C568" s="60"/>
      <c r="D568" s="69" t="s">
        <v>100</v>
      </c>
      <c r="E568" s="60"/>
      <c r="F568" s="60"/>
      <c r="G568" s="38" t="s">
        <v>50</v>
      </c>
      <c r="H568" s="29"/>
      <c r="I568" s="30"/>
      <c r="J568" s="37">
        <v>125000</v>
      </c>
      <c r="K568" s="39" t="s">
        <v>51</v>
      </c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4.5">
      <c r="A569" s="67" t="s">
        <v>52</v>
      </c>
      <c r="B569" s="60"/>
      <c r="C569" s="60"/>
      <c r="D569" s="67" t="s">
        <v>53</v>
      </c>
      <c r="E569" s="60"/>
      <c r="F569" s="60"/>
      <c r="G569" s="29"/>
      <c r="H569" s="29"/>
      <c r="I569" s="30"/>
      <c r="J569" s="40">
        <v>125000</v>
      </c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4.5">
      <c r="A570" s="68" t="s">
        <v>107</v>
      </c>
      <c r="B570" s="60"/>
      <c r="C570" s="60"/>
      <c r="D570" s="72" t="s">
        <v>108</v>
      </c>
      <c r="E570" s="60"/>
      <c r="F570" s="60"/>
      <c r="G570" s="29"/>
      <c r="H570" s="29"/>
      <c r="I570" s="30"/>
      <c r="J570" s="41">
        <v>125000</v>
      </c>
      <c r="K570" s="29"/>
      <c r="L570" s="82" t="s">
        <v>56</v>
      </c>
      <c r="M570" s="60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4.5">
      <c r="A571" s="29"/>
      <c r="B571" s="29"/>
      <c r="C571" s="29"/>
      <c r="D571" s="68" t="s">
        <v>57</v>
      </c>
      <c r="E571" s="60"/>
      <c r="F571" s="60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4.5">
      <c r="A572" s="29"/>
      <c r="B572" s="29"/>
      <c r="C572" s="29"/>
      <c r="D572" s="35" t="s">
        <v>58</v>
      </c>
      <c r="E572" s="68" t="s">
        <v>565</v>
      </c>
      <c r="F572" s="60"/>
      <c r="G572" s="42" t="s">
        <v>165</v>
      </c>
      <c r="H572" s="87">
        <v>125000</v>
      </c>
      <c r="I572" s="60"/>
      <c r="J572" s="41">
        <v>125000</v>
      </c>
      <c r="K572" s="29"/>
      <c r="L572" s="83"/>
      <c r="M572" s="60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4.5">
      <c r="A573" s="69" t="s">
        <v>48</v>
      </c>
      <c r="B573" s="60"/>
      <c r="C573" s="60"/>
      <c r="D573" s="69" t="s">
        <v>49</v>
      </c>
      <c r="E573" s="60"/>
      <c r="F573" s="60"/>
      <c r="G573" s="38" t="s">
        <v>50</v>
      </c>
      <c r="H573" s="29"/>
      <c r="I573" s="30"/>
      <c r="J573" s="37">
        <v>340000</v>
      </c>
      <c r="K573" s="39" t="s">
        <v>51</v>
      </c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4.5">
      <c r="A574" s="67" t="s">
        <v>52</v>
      </c>
      <c r="B574" s="60"/>
      <c r="C574" s="60"/>
      <c r="D574" s="67" t="s">
        <v>53</v>
      </c>
      <c r="E574" s="60"/>
      <c r="F574" s="60"/>
      <c r="G574" s="29"/>
      <c r="H574" s="29"/>
      <c r="I574" s="30"/>
      <c r="J574" s="40">
        <v>340000</v>
      </c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4.5">
      <c r="A575" s="68" t="s">
        <v>54</v>
      </c>
      <c r="B575" s="60"/>
      <c r="C575" s="60"/>
      <c r="D575" s="72" t="s">
        <v>55</v>
      </c>
      <c r="E575" s="60"/>
      <c r="F575" s="60"/>
      <c r="G575" s="29"/>
      <c r="H575" s="29"/>
      <c r="I575" s="30"/>
      <c r="J575" s="41">
        <v>340000</v>
      </c>
      <c r="K575" s="29"/>
      <c r="L575" s="82" t="s">
        <v>56</v>
      </c>
      <c r="M575" s="60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4.5">
      <c r="A576" s="29"/>
      <c r="B576" s="29"/>
      <c r="C576" s="29"/>
      <c r="D576" s="68" t="s">
        <v>57</v>
      </c>
      <c r="E576" s="60"/>
      <c r="F576" s="60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4.5">
      <c r="A577" s="29"/>
      <c r="B577" s="29"/>
      <c r="C577" s="29"/>
      <c r="D577" s="35" t="s">
        <v>58</v>
      </c>
      <c r="E577" s="68" t="s">
        <v>566</v>
      </c>
      <c r="F577" s="60"/>
      <c r="G577" s="42" t="s">
        <v>97</v>
      </c>
      <c r="H577" s="87">
        <v>170000</v>
      </c>
      <c r="I577" s="60"/>
      <c r="J577" s="41">
        <v>340000</v>
      </c>
      <c r="K577" s="29"/>
      <c r="L577" s="83"/>
      <c r="M577" s="60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4.5">
      <c r="A578" s="69" t="s">
        <v>567</v>
      </c>
      <c r="B578" s="60"/>
      <c r="C578" s="60"/>
      <c r="D578" s="69" t="s">
        <v>568</v>
      </c>
      <c r="E578" s="60"/>
      <c r="F578" s="60"/>
      <c r="G578" s="36" t="s">
        <v>47</v>
      </c>
      <c r="H578" s="29"/>
      <c r="I578" s="30"/>
      <c r="J578" s="37">
        <v>4660000</v>
      </c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4.5">
      <c r="A579" s="69" t="s">
        <v>88</v>
      </c>
      <c r="B579" s="60"/>
      <c r="C579" s="60"/>
      <c r="D579" s="69" t="s">
        <v>89</v>
      </c>
      <c r="E579" s="60"/>
      <c r="F579" s="60"/>
      <c r="G579" s="38" t="s">
        <v>50</v>
      </c>
      <c r="H579" s="29"/>
      <c r="I579" s="30"/>
      <c r="J579" s="37">
        <v>1421000</v>
      </c>
      <c r="K579" s="39" t="s">
        <v>51</v>
      </c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4.5">
      <c r="A580" s="67" t="s">
        <v>52</v>
      </c>
      <c r="B580" s="60"/>
      <c r="C580" s="60"/>
      <c r="D580" s="67" t="s">
        <v>53</v>
      </c>
      <c r="E580" s="60"/>
      <c r="F580" s="60"/>
      <c r="G580" s="29"/>
      <c r="H580" s="29"/>
      <c r="I580" s="30"/>
      <c r="J580" s="40">
        <v>1421000</v>
      </c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4.5">
      <c r="A581" s="68" t="s">
        <v>90</v>
      </c>
      <c r="B581" s="60"/>
      <c r="C581" s="60"/>
      <c r="D581" s="72" t="s">
        <v>91</v>
      </c>
      <c r="E581" s="60"/>
      <c r="F581" s="60"/>
      <c r="G581" s="29"/>
      <c r="H581" s="29"/>
      <c r="I581" s="30"/>
      <c r="J581" s="41">
        <v>741000</v>
      </c>
      <c r="K581" s="29"/>
      <c r="L581" s="82" t="s">
        <v>56</v>
      </c>
      <c r="M581" s="60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4.5">
      <c r="A582" s="29"/>
      <c r="B582" s="29"/>
      <c r="C582" s="29"/>
      <c r="D582" s="68" t="s">
        <v>57</v>
      </c>
      <c r="E582" s="60"/>
      <c r="F582" s="60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4.5">
      <c r="A583" s="29"/>
      <c r="B583" s="29"/>
      <c r="C583" s="29"/>
      <c r="D583" s="35" t="s">
        <v>58</v>
      </c>
      <c r="E583" s="68" t="s">
        <v>569</v>
      </c>
      <c r="F583" s="60"/>
      <c r="G583" s="42" t="s">
        <v>340</v>
      </c>
      <c r="H583" s="87">
        <v>57000</v>
      </c>
      <c r="I583" s="60"/>
      <c r="J583" s="41">
        <v>741000</v>
      </c>
      <c r="K583" s="29"/>
      <c r="L583" s="83"/>
      <c r="M583" s="60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4.5">
      <c r="A584" s="68" t="s">
        <v>54</v>
      </c>
      <c r="B584" s="60"/>
      <c r="C584" s="60"/>
      <c r="D584" s="72" t="s">
        <v>55</v>
      </c>
      <c r="E584" s="60"/>
      <c r="F584" s="60"/>
      <c r="G584" s="29"/>
      <c r="H584" s="29"/>
      <c r="I584" s="30"/>
      <c r="J584" s="41">
        <v>680000</v>
      </c>
      <c r="K584" s="29"/>
      <c r="L584" s="82" t="s">
        <v>56</v>
      </c>
      <c r="M584" s="60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4.5">
      <c r="A585" s="29"/>
      <c r="B585" s="29"/>
      <c r="C585" s="29"/>
      <c r="D585" s="68" t="s">
        <v>57</v>
      </c>
      <c r="E585" s="60"/>
      <c r="F585" s="60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4.5">
      <c r="A586" s="29"/>
      <c r="B586" s="29"/>
      <c r="C586" s="29"/>
      <c r="D586" s="35" t="s">
        <v>58</v>
      </c>
      <c r="E586" s="68" t="s">
        <v>570</v>
      </c>
      <c r="F586" s="60"/>
      <c r="G586" s="42" t="s">
        <v>60</v>
      </c>
      <c r="H586" s="87">
        <v>170000</v>
      </c>
      <c r="I586" s="60"/>
      <c r="J586" s="41">
        <v>170000</v>
      </c>
      <c r="K586" s="29"/>
      <c r="L586" s="83"/>
      <c r="M586" s="60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4.5">
      <c r="A587" s="29"/>
      <c r="B587" s="29"/>
      <c r="C587" s="29"/>
      <c r="D587" s="35" t="s">
        <v>58</v>
      </c>
      <c r="E587" s="68" t="s">
        <v>571</v>
      </c>
      <c r="F587" s="60"/>
      <c r="G587" s="42" t="s">
        <v>69</v>
      </c>
      <c r="H587" s="87">
        <v>170000</v>
      </c>
      <c r="I587" s="60"/>
      <c r="J587" s="41">
        <v>510000</v>
      </c>
      <c r="K587" s="29"/>
      <c r="L587" s="83"/>
      <c r="M587" s="60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4.5">
      <c r="A588" s="69" t="s">
        <v>99</v>
      </c>
      <c r="B588" s="60"/>
      <c r="C588" s="60"/>
      <c r="D588" s="69" t="s">
        <v>100</v>
      </c>
      <c r="E588" s="60"/>
      <c r="F588" s="60"/>
      <c r="G588" s="38" t="s">
        <v>50</v>
      </c>
      <c r="H588" s="29"/>
      <c r="I588" s="30"/>
      <c r="J588" s="37">
        <v>2839000</v>
      </c>
      <c r="K588" s="39" t="s">
        <v>51</v>
      </c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4.5">
      <c r="A589" s="67" t="s">
        <v>52</v>
      </c>
      <c r="B589" s="60"/>
      <c r="C589" s="60"/>
      <c r="D589" s="67" t="s">
        <v>53</v>
      </c>
      <c r="E589" s="60"/>
      <c r="F589" s="60"/>
      <c r="G589" s="29"/>
      <c r="H589" s="29"/>
      <c r="I589" s="30"/>
      <c r="J589" s="40">
        <v>2839000</v>
      </c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4.5">
      <c r="A590" s="68" t="s">
        <v>101</v>
      </c>
      <c r="B590" s="60"/>
      <c r="C590" s="60"/>
      <c r="D590" s="72" t="s">
        <v>102</v>
      </c>
      <c r="E590" s="60"/>
      <c r="F590" s="60"/>
      <c r="G590" s="29"/>
      <c r="H590" s="29"/>
      <c r="I590" s="30"/>
      <c r="J590" s="41">
        <v>150000</v>
      </c>
      <c r="K590" s="29"/>
      <c r="L590" s="82" t="s">
        <v>56</v>
      </c>
      <c r="M590" s="60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4.5">
      <c r="A591" s="29"/>
      <c r="B591" s="29"/>
      <c r="C591" s="29"/>
      <c r="D591" s="68" t="s">
        <v>57</v>
      </c>
      <c r="E591" s="60"/>
      <c r="F591" s="60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4.5">
      <c r="A592" s="29"/>
      <c r="B592" s="29"/>
      <c r="C592" s="29"/>
      <c r="D592" s="35" t="s">
        <v>58</v>
      </c>
      <c r="E592" s="68" t="s">
        <v>572</v>
      </c>
      <c r="F592" s="60"/>
      <c r="G592" s="42" t="s">
        <v>573</v>
      </c>
      <c r="H592" s="87">
        <v>50000</v>
      </c>
      <c r="I592" s="60"/>
      <c r="J592" s="41">
        <v>150000</v>
      </c>
      <c r="K592" s="29"/>
      <c r="L592" s="83"/>
      <c r="M592" s="60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4.5">
      <c r="A593" s="68" t="s">
        <v>90</v>
      </c>
      <c r="B593" s="60"/>
      <c r="C593" s="60"/>
      <c r="D593" s="72" t="s">
        <v>91</v>
      </c>
      <c r="E593" s="60"/>
      <c r="F593" s="60"/>
      <c r="G593" s="29"/>
      <c r="H593" s="29"/>
      <c r="I593" s="30"/>
      <c r="J593" s="41">
        <v>999000</v>
      </c>
      <c r="K593" s="29"/>
      <c r="L593" s="82" t="s">
        <v>56</v>
      </c>
      <c r="M593" s="60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4.5">
      <c r="A594" s="29"/>
      <c r="B594" s="29"/>
      <c r="C594" s="29"/>
      <c r="D594" s="68" t="s">
        <v>57</v>
      </c>
      <c r="E594" s="60"/>
      <c r="F594" s="60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4.5">
      <c r="A595" s="29"/>
      <c r="B595" s="29"/>
      <c r="C595" s="29"/>
      <c r="D595" s="35" t="s">
        <v>58</v>
      </c>
      <c r="E595" s="68" t="s">
        <v>574</v>
      </c>
      <c r="F595" s="60"/>
      <c r="G595" s="42" t="s">
        <v>106</v>
      </c>
      <c r="H595" s="87">
        <v>111000</v>
      </c>
      <c r="I595" s="60"/>
      <c r="J595" s="41">
        <v>999000</v>
      </c>
      <c r="K595" s="29"/>
      <c r="L595" s="83"/>
      <c r="M595" s="60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4.5">
      <c r="A596" s="68" t="s">
        <v>150</v>
      </c>
      <c r="B596" s="60"/>
      <c r="C596" s="60"/>
      <c r="D596" s="72" t="s">
        <v>151</v>
      </c>
      <c r="E596" s="60"/>
      <c r="F596" s="60"/>
      <c r="G596" s="29"/>
      <c r="H596" s="29"/>
      <c r="I596" s="30"/>
      <c r="J596" s="41">
        <v>1690000</v>
      </c>
      <c r="K596" s="29"/>
      <c r="L596" s="82" t="s">
        <v>56</v>
      </c>
      <c r="M596" s="60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4.5">
      <c r="A597" s="29"/>
      <c r="B597" s="29"/>
      <c r="C597" s="29"/>
      <c r="D597" s="68" t="s">
        <v>57</v>
      </c>
      <c r="E597" s="60"/>
      <c r="F597" s="60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4.5">
      <c r="A598" s="29"/>
      <c r="B598" s="29"/>
      <c r="C598" s="29"/>
      <c r="D598" s="35" t="s">
        <v>58</v>
      </c>
      <c r="E598" s="68" t="s">
        <v>575</v>
      </c>
      <c r="F598" s="60"/>
      <c r="G598" s="42" t="s">
        <v>461</v>
      </c>
      <c r="H598" s="87">
        <v>240000</v>
      </c>
      <c r="I598" s="60"/>
      <c r="J598" s="41">
        <v>1200000</v>
      </c>
      <c r="K598" s="29"/>
      <c r="L598" s="83"/>
      <c r="M598" s="60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4.5">
      <c r="A599" s="29"/>
      <c r="B599" s="29"/>
      <c r="C599" s="29"/>
      <c r="D599" s="35" t="s">
        <v>58</v>
      </c>
      <c r="E599" s="68" t="s">
        <v>576</v>
      </c>
      <c r="F599" s="60"/>
      <c r="G599" s="42" t="s">
        <v>461</v>
      </c>
      <c r="H599" s="87">
        <v>98000</v>
      </c>
      <c r="I599" s="60"/>
      <c r="J599" s="41">
        <v>490000</v>
      </c>
      <c r="K599" s="29"/>
      <c r="L599" s="83"/>
      <c r="M599" s="60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4.5">
      <c r="A600" s="69" t="s">
        <v>48</v>
      </c>
      <c r="B600" s="60"/>
      <c r="C600" s="60"/>
      <c r="D600" s="69" t="s">
        <v>49</v>
      </c>
      <c r="E600" s="60"/>
      <c r="F600" s="60"/>
      <c r="G600" s="38" t="s">
        <v>50</v>
      </c>
      <c r="H600" s="29"/>
      <c r="I600" s="30"/>
      <c r="J600" s="37">
        <v>400000</v>
      </c>
      <c r="K600" s="39" t="s">
        <v>51</v>
      </c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4.5">
      <c r="A601" s="67" t="s">
        <v>52</v>
      </c>
      <c r="B601" s="60"/>
      <c r="C601" s="60"/>
      <c r="D601" s="67" t="s">
        <v>53</v>
      </c>
      <c r="E601" s="60"/>
      <c r="F601" s="60"/>
      <c r="G601" s="29"/>
      <c r="H601" s="29"/>
      <c r="I601" s="30"/>
      <c r="J601" s="40">
        <v>400000</v>
      </c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4.5">
      <c r="A602" s="68" t="s">
        <v>101</v>
      </c>
      <c r="B602" s="60"/>
      <c r="C602" s="60"/>
      <c r="D602" s="72" t="s">
        <v>102</v>
      </c>
      <c r="E602" s="60"/>
      <c r="F602" s="60"/>
      <c r="G602" s="29"/>
      <c r="H602" s="29"/>
      <c r="I602" s="30"/>
      <c r="J602" s="41">
        <v>200000</v>
      </c>
      <c r="K602" s="29"/>
      <c r="L602" s="82" t="s">
        <v>56</v>
      </c>
      <c r="M602" s="60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4.5">
      <c r="A603" s="29"/>
      <c r="B603" s="29"/>
      <c r="C603" s="29"/>
      <c r="D603" s="68" t="s">
        <v>57</v>
      </c>
      <c r="E603" s="60"/>
      <c r="F603" s="60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4.5">
      <c r="A604" s="29"/>
      <c r="B604" s="29"/>
      <c r="C604" s="29"/>
      <c r="D604" s="35" t="s">
        <v>58</v>
      </c>
      <c r="E604" s="68" t="s">
        <v>577</v>
      </c>
      <c r="F604" s="60"/>
      <c r="G604" s="42" t="s">
        <v>275</v>
      </c>
      <c r="H604" s="87">
        <v>100000</v>
      </c>
      <c r="I604" s="60"/>
      <c r="J604" s="41">
        <v>200000</v>
      </c>
      <c r="K604" s="29"/>
      <c r="L604" s="83"/>
      <c r="M604" s="60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4.5">
      <c r="A605" s="68" t="s">
        <v>54</v>
      </c>
      <c r="B605" s="60"/>
      <c r="C605" s="60"/>
      <c r="D605" s="72" t="s">
        <v>55</v>
      </c>
      <c r="E605" s="60"/>
      <c r="F605" s="60"/>
      <c r="G605" s="29"/>
      <c r="H605" s="29"/>
      <c r="I605" s="30"/>
      <c r="J605" s="41">
        <v>200000</v>
      </c>
      <c r="K605" s="29"/>
      <c r="L605" s="82" t="s">
        <v>56</v>
      </c>
      <c r="M605" s="60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4.5">
      <c r="A606" s="29"/>
      <c r="B606" s="29"/>
      <c r="C606" s="29"/>
      <c r="D606" s="68" t="s">
        <v>57</v>
      </c>
      <c r="E606" s="60"/>
      <c r="F606" s="60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4.5">
      <c r="A607" s="29"/>
      <c r="B607" s="29"/>
      <c r="C607" s="29"/>
      <c r="D607" s="35" t="s">
        <v>58</v>
      </c>
      <c r="E607" s="68" t="s">
        <v>578</v>
      </c>
      <c r="F607" s="60"/>
      <c r="G607" s="42" t="s">
        <v>118</v>
      </c>
      <c r="H607" s="87">
        <v>200000</v>
      </c>
      <c r="I607" s="60"/>
      <c r="J607" s="41">
        <v>200000</v>
      </c>
      <c r="K607" s="29"/>
      <c r="L607" s="83"/>
      <c r="M607" s="60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7.5">
      <c r="A608" s="71" t="s">
        <v>579</v>
      </c>
      <c r="B608" s="60"/>
      <c r="C608" s="60"/>
      <c r="D608" s="71" t="s">
        <v>580</v>
      </c>
      <c r="E608" s="60"/>
      <c r="F608" s="60"/>
      <c r="G608" s="33" t="s">
        <v>581</v>
      </c>
      <c r="H608" s="29"/>
      <c r="I608" s="30"/>
      <c r="J608" s="34">
        <v>10106000</v>
      </c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4.5">
      <c r="A609" s="29"/>
      <c r="B609" s="29"/>
      <c r="C609" s="29"/>
      <c r="D609" s="68" t="s">
        <v>44</v>
      </c>
      <c r="E609" s="60"/>
      <c r="F609" s="60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4.5">
      <c r="A610" s="69" t="s">
        <v>582</v>
      </c>
      <c r="B610" s="60"/>
      <c r="C610" s="60"/>
      <c r="D610" s="69" t="s">
        <v>583</v>
      </c>
      <c r="E610" s="60"/>
      <c r="F610" s="60"/>
      <c r="G610" s="36" t="s">
        <v>584</v>
      </c>
      <c r="H610" s="29"/>
      <c r="I610" s="30"/>
      <c r="J610" s="37">
        <v>10106000</v>
      </c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4.5">
      <c r="A611" s="69" t="s">
        <v>99</v>
      </c>
      <c r="B611" s="60"/>
      <c r="C611" s="60"/>
      <c r="D611" s="69" t="s">
        <v>100</v>
      </c>
      <c r="E611" s="60"/>
      <c r="F611" s="60"/>
      <c r="G611" s="38" t="s">
        <v>50</v>
      </c>
      <c r="H611" s="29"/>
      <c r="I611" s="30"/>
      <c r="J611" s="37">
        <v>4220000</v>
      </c>
      <c r="K611" s="39" t="s">
        <v>51</v>
      </c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4.5">
      <c r="A612" s="67" t="s">
        <v>52</v>
      </c>
      <c r="B612" s="60"/>
      <c r="C612" s="60"/>
      <c r="D612" s="67" t="s">
        <v>53</v>
      </c>
      <c r="E612" s="60"/>
      <c r="F612" s="60"/>
      <c r="G612" s="29"/>
      <c r="H612" s="29"/>
      <c r="I612" s="30"/>
      <c r="J612" s="40">
        <v>4220000</v>
      </c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4.5">
      <c r="A613" s="68" t="s">
        <v>101</v>
      </c>
      <c r="B613" s="60"/>
      <c r="C613" s="60"/>
      <c r="D613" s="72" t="s">
        <v>102</v>
      </c>
      <c r="E613" s="60"/>
      <c r="F613" s="60"/>
      <c r="G613" s="29"/>
      <c r="H613" s="29"/>
      <c r="I613" s="30"/>
      <c r="J613" s="41">
        <v>2320000</v>
      </c>
      <c r="K613" s="29"/>
      <c r="L613" s="82" t="s">
        <v>56</v>
      </c>
      <c r="M613" s="60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4.5">
      <c r="A614" s="29"/>
      <c r="B614" s="29"/>
      <c r="C614" s="29"/>
      <c r="D614" s="68" t="s">
        <v>57</v>
      </c>
      <c r="E614" s="60"/>
      <c r="F614" s="60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4.5">
      <c r="A615" s="29"/>
      <c r="B615" s="29"/>
      <c r="C615" s="29"/>
      <c r="D615" s="35" t="s">
        <v>58</v>
      </c>
      <c r="E615" s="68" t="s">
        <v>585</v>
      </c>
      <c r="F615" s="60"/>
      <c r="G615" s="42" t="s">
        <v>586</v>
      </c>
      <c r="H615" s="87">
        <v>200000</v>
      </c>
      <c r="I615" s="60"/>
      <c r="J615" s="41">
        <v>400000</v>
      </c>
      <c r="K615" s="29"/>
      <c r="L615" s="83"/>
      <c r="M615" s="60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4.5">
      <c r="A616" s="29"/>
      <c r="B616" s="29"/>
      <c r="C616" s="29"/>
      <c r="D616" s="35" t="s">
        <v>58</v>
      </c>
      <c r="E616" s="68" t="s">
        <v>587</v>
      </c>
      <c r="F616" s="60"/>
      <c r="G616" s="42" t="s">
        <v>588</v>
      </c>
      <c r="H616" s="87">
        <v>64000</v>
      </c>
      <c r="I616" s="60"/>
      <c r="J616" s="41">
        <v>1920000</v>
      </c>
      <c r="K616" s="29"/>
      <c r="L616" s="83"/>
      <c r="M616" s="60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4.5">
      <c r="A617" s="68" t="s">
        <v>75</v>
      </c>
      <c r="B617" s="60"/>
      <c r="C617" s="60"/>
      <c r="D617" s="72" t="s">
        <v>76</v>
      </c>
      <c r="E617" s="60"/>
      <c r="F617" s="60"/>
      <c r="G617" s="29"/>
      <c r="H617" s="29"/>
      <c r="I617" s="30"/>
      <c r="J617" s="41">
        <v>1900000</v>
      </c>
      <c r="K617" s="29"/>
      <c r="L617" s="82" t="s">
        <v>56</v>
      </c>
      <c r="M617" s="60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4.5">
      <c r="A618" s="29"/>
      <c r="B618" s="29"/>
      <c r="C618" s="29"/>
      <c r="D618" s="68" t="s">
        <v>57</v>
      </c>
      <c r="E618" s="60"/>
      <c r="F618" s="60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4.5">
      <c r="A619" s="29"/>
      <c r="B619" s="29"/>
      <c r="C619" s="29"/>
      <c r="D619" s="35" t="s">
        <v>58</v>
      </c>
      <c r="E619" s="68" t="s">
        <v>589</v>
      </c>
      <c r="F619" s="60"/>
      <c r="G619" s="42" t="s">
        <v>78</v>
      </c>
      <c r="H619" s="87">
        <v>1000000</v>
      </c>
      <c r="I619" s="60"/>
      <c r="J619" s="41">
        <v>1000000</v>
      </c>
      <c r="K619" s="29"/>
      <c r="L619" s="83"/>
      <c r="M619" s="60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4.5">
      <c r="A620" s="29"/>
      <c r="B620" s="29"/>
      <c r="C620" s="29"/>
      <c r="D620" s="35" t="s">
        <v>58</v>
      </c>
      <c r="E620" s="68" t="s">
        <v>590</v>
      </c>
      <c r="F620" s="60"/>
      <c r="G620" s="42" t="s">
        <v>78</v>
      </c>
      <c r="H620" s="87">
        <v>900000</v>
      </c>
      <c r="I620" s="60"/>
      <c r="J620" s="41">
        <v>900000</v>
      </c>
      <c r="K620" s="29"/>
      <c r="L620" s="83"/>
      <c r="M620" s="60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4.5">
      <c r="A621" s="69" t="s">
        <v>48</v>
      </c>
      <c r="B621" s="60"/>
      <c r="C621" s="60"/>
      <c r="D621" s="69" t="s">
        <v>49</v>
      </c>
      <c r="E621" s="60"/>
      <c r="F621" s="60"/>
      <c r="G621" s="38" t="s">
        <v>50</v>
      </c>
      <c r="H621" s="29"/>
      <c r="I621" s="30"/>
      <c r="J621" s="37">
        <v>320000</v>
      </c>
      <c r="K621" s="39" t="s">
        <v>51</v>
      </c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4.5">
      <c r="A622" s="67" t="s">
        <v>52</v>
      </c>
      <c r="B622" s="60"/>
      <c r="C622" s="60"/>
      <c r="D622" s="67" t="s">
        <v>53</v>
      </c>
      <c r="E622" s="60"/>
      <c r="F622" s="60"/>
      <c r="G622" s="29"/>
      <c r="H622" s="29"/>
      <c r="I622" s="30"/>
      <c r="J622" s="40">
        <v>320000</v>
      </c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4.5">
      <c r="A623" s="68" t="s">
        <v>54</v>
      </c>
      <c r="B623" s="60"/>
      <c r="C623" s="60"/>
      <c r="D623" s="72" t="s">
        <v>55</v>
      </c>
      <c r="E623" s="60"/>
      <c r="F623" s="60"/>
      <c r="G623" s="29"/>
      <c r="H623" s="29"/>
      <c r="I623" s="30"/>
      <c r="J623" s="41">
        <v>320000</v>
      </c>
      <c r="K623" s="29"/>
      <c r="L623" s="82" t="s">
        <v>56</v>
      </c>
      <c r="M623" s="60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4.5">
      <c r="A624" s="29"/>
      <c r="B624" s="29"/>
      <c r="C624" s="29"/>
      <c r="D624" s="68" t="s">
        <v>57</v>
      </c>
      <c r="E624" s="60"/>
      <c r="F624" s="60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4.5">
      <c r="A625" s="29"/>
      <c r="B625" s="29"/>
      <c r="C625" s="29"/>
      <c r="D625" s="35" t="s">
        <v>58</v>
      </c>
      <c r="E625" s="68" t="s">
        <v>591</v>
      </c>
      <c r="F625" s="60"/>
      <c r="G625" s="42" t="s">
        <v>118</v>
      </c>
      <c r="H625" s="87">
        <v>320000</v>
      </c>
      <c r="I625" s="60"/>
      <c r="J625" s="41">
        <v>320000</v>
      </c>
      <c r="K625" s="29"/>
      <c r="L625" s="83"/>
      <c r="M625" s="60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4.5">
      <c r="A626" s="69" t="s">
        <v>592</v>
      </c>
      <c r="B626" s="60"/>
      <c r="C626" s="60"/>
      <c r="D626" s="69" t="s">
        <v>593</v>
      </c>
      <c r="E626" s="60"/>
      <c r="F626" s="60"/>
      <c r="G626" s="38" t="s">
        <v>50</v>
      </c>
      <c r="H626" s="29"/>
      <c r="I626" s="30"/>
      <c r="J626" s="37">
        <v>5566000</v>
      </c>
      <c r="K626" s="39" t="s">
        <v>51</v>
      </c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4.5">
      <c r="A627" s="67" t="s">
        <v>52</v>
      </c>
      <c r="B627" s="60"/>
      <c r="C627" s="60"/>
      <c r="D627" s="67" t="s">
        <v>53</v>
      </c>
      <c r="E627" s="60"/>
      <c r="F627" s="60"/>
      <c r="G627" s="29"/>
      <c r="H627" s="29"/>
      <c r="I627" s="30"/>
      <c r="J627" s="40">
        <v>5566000</v>
      </c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4.5">
      <c r="A628" s="68" t="s">
        <v>101</v>
      </c>
      <c r="B628" s="60"/>
      <c r="C628" s="60"/>
      <c r="D628" s="72" t="s">
        <v>102</v>
      </c>
      <c r="E628" s="60"/>
      <c r="F628" s="60"/>
      <c r="G628" s="29"/>
      <c r="H628" s="29"/>
      <c r="I628" s="30"/>
      <c r="J628" s="41">
        <v>1826000</v>
      </c>
      <c r="K628" s="29"/>
      <c r="L628" s="82" t="s">
        <v>56</v>
      </c>
      <c r="M628" s="60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4.5">
      <c r="A629" s="29"/>
      <c r="B629" s="29"/>
      <c r="C629" s="29"/>
      <c r="D629" s="68" t="s">
        <v>57</v>
      </c>
      <c r="E629" s="60"/>
      <c r="F629" s="60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4.5">
      <c r="A630" s="29"/>
      <c r="B630" s="29"/>
      <c r="C630" s="29"/>
      <c r="D630" s="35" t="s">
        <v>58</v>
      </c>
      <c r="E630" s="68" t="s">
        <v>594</v>
      </c>
      <c r="F630" s="60"/>
      <c r="G630" s="42" t="s">
        <v>595</v>
      </c>
      <c r="H630" s="87">
        <v>83000</v>
      </c>
      <c r="I630" s="60"/>
      <c r="J630" s="41">
        <v>1826000</v>
      </c>
      <c r="K630" s="29"/>
      <c r="L630" s="83"/>
      <c r="M630" s="60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4.5">
      <c r="A631" s="68" t="s">
        <v>596</v>
      </c>
      <c r="B631" s="60"/>
      <c r="C631" s="60"/>
      <c r="D631" s="72" t="s">
        <v>597</v>
      </c>
      <c r="E631" s="60"/>
      <c r="F631" s="60"/>
      <c r="G631" s="29"/>
      <c r="H631" s="29"/>
      <c r="I631" s="30"/>
      <c r="J631" s="41">
        <v>3740000</v>
      </c>
      <c r="K631" s="29"/>
      <c r="L631" s="82" t="s">
        <v>56</v>
      </c>
      <c r="M631" s="60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4.5">
      <c r="A632" s="29"/>
      <c r="B632" s="29"/>
      <c r="C632" s="29"/>
      <c r="D632" s="68" t="s">
        <v>57</v>
      </c>
      <c r="E632" s="60"/>
      <c r="F632" s="60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4.5">
      <c r="A633" s="29"/>
      <c r="B633" s="29"/>
      <c r="C633" s="29"/>
      <c r="D633" s="35" t="s">
        <v>58</v>
      </c>
      <c r="E633" s="68" t="s">
        <v>598</v>
      </c>
      <c r="F633" s="60"/>
      <c r="G633" s="42" t="s">
        <v>599</v>
      </c>
      <c r="H633" s="87">
        <v>170000</v>
      </c>
      <c r="I633" s="60"/>
      <c r="J633" s="41">
        <v>3740000</v>
      </c>
      <c r="K633" s="29"/>
      <c r="L633" s="83"/>
      <c r="M633" s="60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4.5">
      <c r="A634" s="70" t="s">
        <v>600</v>
      </c>
      <c r="B634" s="60"/>
      <c r="C634" s="60"/>
      <c r="D634" s="70" t="s">
        <v>601</v>
      </c>
      <c r="E634" s="60"/>
      <c r="F634" s="60"/>
      <c r="G634" s="29"/>
      <c r="H634" s="29"/>
      <c r="I634" s="30"/>
      <c r="J634" s="32">
        <v>11701000</v>
      </c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7.5">
      <c r="A635" s="71" t="s">
        <v>602</v>
      </c>
      <c r="B635" s="60"/>
      <c r="C635" s="60"/>
      <c r="D635" s="71" t="s">
        <v>42</v>
      </c>
      <c r="E635" s="60"/>
      <c r="F635" s="60"/>
      <c r="G635" s="33" t="s">
        <v>124</v>
      </c>
      <c r="H635" s="29"/>
      <c r="I635" s="30"/>
      <c r="J635" s="34">
        <v>11701000</v>
      </c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4.5">
      <c r="A636" s="29"/>
      <c r="B636" s="29"/>
      <c r="C636" s="29"/>
      <c r="D636" s="68" t="s">
        <v>44</v>
      </c>
      <c r="E636" s="60"/>
      <c r="F636" s="60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4.5">
      <c r="A637" s="69" t="s">
        <v>603</v>
      </c>
      <c r="B637" s="60"/>
      <c r="C637" s="60"/>
      <c r="D637" s="69" t="s">
        <v>604</v>
      </c>
      <c r="E637" s="60"/>
      <c r="F637" s="60"/>
      <c r="G637" s="36" t="s">
        <v>127</v>
      </c>
      <c r="H637" s="29"/>
      <c r="I637" s="30"/>
      <c r="J637" s="37">
        <v>11701000</v>
      </c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4.5">
      <c r="A638" s="69" t="s">
        <v>88</v>
      </c>
      <c r="B638" s="60"/>
      <c r="C638" s="60"/>
      <c r="D638" s="69" t="s">
        <v>89</v>
      </c>
      <c r="E638" s="60"/>
      <c r="F638" s="60"/>
      <c r="G638" s="38" t="s">
        <v>50</v>
      </c>
      <c r="H638" s="29"/>
      <c r="I638" s="30"/>
      <c r="J638" s="37">
        <v>7780000</v>
      </c>
      <c r="K638" s="39" t="s">
        <v>51</v>
      </c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4.5">
      <c r="A639" s="67" t="s">
        <v>52</v>
      </c>
      <c r="B639" s="60"/>
      <c r="C639" s="60"/>
      <c r="D639" s="67" t="s">
        <v>53</v>
      </c>
      <c r="E639" s="60"/>
      <c r="F639" s="60"/>
      <c r="G639" s="29"/>
      <c r="H639" s="29"/>
      <c r="I639" s="30"/>
      <c r="J639" s="40">
        <v>7780000</v>
      </c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4.5">
      <c r="A640" s="68" t="s">
        <v>90</v>
      </c>
      <c r="B640" s="60"/>
      <c r="C640" s="60"/>
      <c r="D640" s="72" t="s">
        <v>91</v>
      </c>
      <c r="E640" s="60"/>
      <c r="F640" s="60"/>
      <c r="G640" s="29"/>
      <c r="H640" s="29"/>
      <c r="I640" s="30"/>
      <c r="J640" s="41">
        <v>6590000</v>
      </c>
      <c r="K640" s="29"/>
      <c r="L640" s="82" t="s">
        <v>56</v>
      </c>
      <c r="M640" s="60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4.5">
      <c r="A641" s="29"/>
      <c r="B641" s="29"/>
      <c r="C641" s="29"/>
      <c r="D641" s="68" t="s">
        <v>57</v>
      </c>
      <c r="E641" s="60"/>
      <c r="F641" s="60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4.5">
      <c r="A642" s="29"/>
      <c r="B642" s="29"/>
      <c r="C642" s="29"/>
      <c r="D642" s="35" t="s">
        <v>58</v>
      </c>
      <c r="E642" s="68" t="s">
        <v>605</v>
      </c>
      <c r="F642" s="60"/>
      <c r="G642" s="42" t="s">
        <v>606</v>
      </c>
      <c r="H642" s="87">
        <v>75000</v>
      </c>
      <c r="I642" s="60"/>
      <c r="J642" s="41">
        <v>1050000</v>
      </c>
      <c r="K642" s="29"/>
      <c r="L642" s="83"/>
      <c r="M642" s="60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4.5">
      <c r="A643" s="29"/>
      <c r="B643" s="29"/>
      <c r="C643" s="29"/>
      <c r="D643" s="35" t="s">
        <v>58</v>
      </c>
      <c r="E643" s="68" t="s">
        <v>607</v>
      </c>
      <c r="F643" s="60"/>
      <c r="G643" s="42" t="s">
        <v>608</v>
      </c>
      <c r="H643" s="87">
        <v>66000</v>
      </c>
      <c r="I643" s="60"/>
      <c r="J643" s="41">
        <v>66000</v>
      </c>
      <c r="K643" s="29"/>
      <c r="L643" s="83"/>
      <c r="M643" s="60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4.5">
      <c r="A644" s="29"/>
      <c r="B644" s="29"/>
      <c r="C644" s="29"/>
      <c r="D644" s="35" t="s">
        <v>58</v>
      </c>
      <c r="E644" s="68" t="s">
        <v>609</v>
      </c>
      <c r="F644" s="60"/>
      <c r="G644" s="42" t="s">
        <v>608</v>
      </c>
      <c r="H644" s="87">
        <v>75000</v>
      </c>
      <c r="I644" s="60"/>
      <c r="J644" s="41">
        <v>75000</v>
      </c>
      <c r="K644" s="29"/>
      <c r="L644" s="83"/>
      <c r="M644" s="60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4.5">
      <c r="A645" s="29"/>
      <c r="B645" s="29"/>
      <c r="C645" s="29"/>
      <c r="D645" s="35" t="s">
        <v>58</v>
      </c>
      <c r="E645" s="68" t="s">
        <v>610</v>
      </c>
      <c r="F645" s="60"/>
      <c r="G645" s="42" t="s">
        <v>608</v>
      </c>
      <c r="H645" s="87">
        <v>75000</v>
      </c>
      <c r="I645" s="60"/>
      <c r="J645" s="41">
        <v>75000</v>
      </c>
      <c r="K645" s="29"/>
      <c r="L645" s="83"/>
      <c r="M645" s="60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4.5">
      <c r="A646" s="29"/>
      <c r="B646" s="29"/>
      <c r="C646" s="29"/>
      <c r="D646" s="35" t="s">
        <v>58</v>
      </c>
      <c r="E646" s="68" t="s">
        <v>611</v>
      </c>
      <c r="F646" s="60"/>
      <c r="G646" s="42" t="s">
        <v>612</v>
      </c>
      <c r="H646" s="87">
        <v>66000</v>
      </c>
      <c r="I646" s="60"/>
      <c r="J646" s="41">
        <v>3960000</v>
      </c>
      <c r="K646" s="29"/>
      <c r="L646" s="83"/>
      <c r="M646" s="60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4.5">
      <c r="A647" s="29"/>
      <c r="B647" s="29"/>
      <c r="C647" s="29"/>
      <c r="D647" s="35" t="s">
        <v>58</v>
      </c>
      <c r="E647" s="68" t="s">
        <v>613</v>
      </c>
      <c r="F647" s="60"/>
      <c r="G647" s="42" t="s">
        <v>614</v>
      </c>
      <c r="H647" s="87">
        <v>75000</v>
      </c>
      <c r="I647" s="60"/>
      <c r="J647" s="41">
        <v>1125000</v>
      </c>
      <c r="K647" s="29"/>
      <c r="L647" s="83"/>
      <c r="M647" s="60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4.5">
      <c r="A648" s="29"/>
      <c r="B648" s="29"/>
      <c r="C648" s="29"/>
      <c r="D648" s="35" t="s">
        <v>58</v>
      </c>
      <c r="E648" s="68" t="s">
        <v>615</v>
      </c>
      <c r="F648" s="60"/>
      <c r="G648" s="42" t="s">
        <v>606</v>
      </c>
      <c r="H648" s="87">
        <v>15000</v>
      </c>
      <c r="I648" s="60"/>
      <c r="J648" s="41">
        <v>210000</v>
      </c>
      <c r="K648" s="29"/>
      <c r="L648" s="83"/>
      <c r="M648" s="60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4.5">
      <c r="A649" s="29"/>
      <c r="B649" s="29"/>
      <c r="C649" s="29"/>
      <c r="D649" s="35" t="s">
        <v>58</v>
      </c>
      <c r="E649" s="68" t="s">
        <v>616</v>
      </c>
      <c r="F649" s="60"/>
      <c r="G649" s="42" t="s">
        <v>608</v>
      </c>
      <c r="H649" s="87">
        <v>14000</v>
      </c>
      <c r="I649" s="60"/>
      <c r="J649" s="41">
        <v>14000</v>
      </c>
      <c r="K649" s="29"/>
      <c r="L649" s="83"/>
      <c r="M649" s="60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4.5">
      <c r="A650" s="29"/>
      <c r="B650" s="29"/>
      <c r="C650" s="29"/>
      <c r="D650" s="35" t="s">
        <v>58</v>
      </c>
      <c r="E650" s="68" t="s">
        <v>617</v>
      </c>
      <c r="F650" s="60"/>
      <c r="G650" s="42" t="s">
        <v>608</v>
      </c>
      <c r="H650" s="87">
        <v>15000</v>
      </c>
      <c r="I650" s="60"/>
      <c r="J650" s="41">
        <v>15000</v>
      </c>
      <c r="K650" s="29"/>
      <c r="L650" s="83"/>
      <c r="M650" s="60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4.5">
      <c r="A651" s="68" t="s">
        <v>54</v>
      </c>
      <c r="B651" s="60"/>
      <c r="C651" s="60"/>
      <c r="D651" s="72" t="s">
        <v>55</v>
      </c>
      <c r="E651" s="60"/>
      <c r="F651" s="60"/>
      <c r="G651" s="29"/>
      <c r="H651" s="29"/>
      <c r="I651" s="30"/>
      <c r="J651" s="41">
        <v>1190000</v>
      </c>
      <c r="K651" s="29"/>
      <c r="L651" s="82" t="s">
        <v>56</v>
      </c>
      <c r="M651" s="60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4.5">
      <c r="A652" s="29"/>
      <c r="B652" s="29"/>
      <c r="C652" s="29"/>
      <c r="D652" s="68" t="s">
        <v>57</v>
      </c>
      <c r="E652" s="60"/>
      <c r="F652" s="60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4.5">
      <c r="A653" s="29"/>
      <c r="B653" s="29"/>
      <c r="C653" s="29"/>
      <c r="D653" s="35" t="s">
        <v>58</v>
      </c>
      <c r="E653" s="68" t="s">
        <v>618</v>
      </c>
      <c r="F653" s="60"/>
      <c r="G653" s="42" t="s">
        <v>60</v>
      </c>
      <c r="H653" s="87">
        <v>170000</v>
      </c>
      <c r="I653" s="60"/>
      <c r="J653" s="41">
        <v>170000</v>
      </c>
      <c r="K653" s="29"/>
      <c r="L653" s="83"/>
      <c r="M653" s="60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4.5">
      <c r="A654" s="29"/>
      <c r="B654" s="29"/>
      <c r="C654" s="29"/>
      <c r="D654" s="35" t="s">
        <v>58</v>
      </c>
      <c r="E654" s="68" t="s">
        <v>619</v>
      </c>
      <c r="F654" s="60"/>
      <c r="G654" s="42" t="s">
        <v>60</v>
      </c>
      <c r="H654" s="87">
        <v>170000</v>
      </c>
      <c r="I654" s="60"/>
      <c r="J654" s="41">
        <v>170000</v>
      </c>
      <c r="K654" s="29"/>
      <c r="L654" s="83"/>
      <c r="M654" s="60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4.5">
      <c r="A655" s="29"/>
      <c r="B655" s="29"/>
      <c r="C655" s="29"/>
      <c r="D655" s="35" t="s">
        <v>58</v>
      </c>
      <c r="E655" s="68" t="s">
        <v>620</v>
      </c>
      <c r="F655" s="60"/>
      <c r="G655" s="42" t="s">
        <v>60</v>
      </c>
      <c r="H655" s="87">
        <v>170000</v>
      </c>
      <c r="I655" s="60"/>
      <c r="J655" s="41">
        <v>170000</v>
      </c>
      <c r="K655" s="29"/>
      <c r="L655" s="83"/>
      <c r="M655" s="60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4.5">
      <c r="A656" s="29"/>
      <c r="B656" s="29"/>
      <c r="C656" s="29"/>
      <c r="D656" s="35" t="s">
        <v>58</v>
      </c>
      <c r="E656" s="68" t="s">
        <v>621</v>
      </c>
      <c r="F656" s="60"/>
      <c r="G656" s="42" t="s">
        <v>60</v>
      </c>
      <c r="H656" s="87">
        <v>170000</v>
      </c>
      <c r="I656" s="60"/>
      <c r="J656" s="41">
        <v>170000</v>
      </c>
      <c r="K656" s="29"/>
      <c r="L656" s="83"/>
      <c r="M656" s="60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4.5">
      <c r="A657" s="29"/>
      <c r="B657" s="29"/>
      <c r="C657" s="29"/>
      <c r="D657" s="35" t="s">
        <v>58</v>
      </c>
      <c r="E657" s="68" t="s">
        <v>622</v>
      </c>
      <c r="F657" s="60"/>
      <c r="G657" s="42" t="s">
        <v>97</v>
      </c>
      <c r="H657" s="87">
        <v>170000</v>
      </c>
      <c r="I657" s="60"/>
      <c r="J657" s="41">
        <v>340000</v>
      </c>
      <c r="K657" s="29"/>
      <c r="L657" s="83"/>
      <c r="M657" s="60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4.5">
      <c r="A658" s="29"/>
      <c r="B658" s="29"/>
      <c r="C658" s="29"/>
      <c r="D658" s="35" t="s">
        <v>58</v>
      </c>
      <c r="E658" s="68" t="s">
        <v>623</v>
      </c>
      <c r="F658" s="60"/>
      <c r="G658" s="42" t="s">
        <v>60</v>
      </c>
      <c r="H658" s="87">
        <v>170000</v>
      </c>
      <c r="I658" s="60"/>
      <c r="J658" s="41">
        <v>170000</v>
      </c>
      <c r="K658" s="29"/>
      <c r="L658" s="83"/>
      <c r="M658" s="60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4.5">
      <c r="A659" s="69" t="s">
        <v>99</v>
      </c>
      <c r="B659" s="60"/>
      <c r="C659" s="60"/>
      <c r="D659" s="69" t="s">
        <v>100</v>
      </c>
      <c r="E659" s="60"/>
      <c r="F659" s="60"/>
      <c r="G659" s="38" t="s">
        <v>50</v>
      </c>
      <c r="H659" s="29"/>
      <c r="I659" s="30"/>
      <c r="J659" s="37">
        <v>3621000</v>
      </c>
      <c r="K659" s="39" t="s">
        <v>51</v>
      </c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4.5">
      <c r="A660" s="67" t="s">
        <v>52</v>
      </c>
      <c r="B660" s="60"/>
      <c r="C660" s="60"/>
      <c r="D660" s="67" t="s">
        <v>53</v>
      </c>
      <c r="E660" s="60"/>
      <c r="F660" s="60"/>
      <c r="G660" s="29"/>
      <c r="H660" s="29"/>
      <c r="I660" s="30"/>
      <c r="J660" s="40">
        <v>3621000</v>
      </c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4.5">
      <c r="A661" s="68" t="s">
        <v>101</v>
      </c>
      <c r="B661" s="60"/>
      <c r="C661" s="60"/>
      <c r="D661" s="72" t="s">
        <v>102</v>
      </c>
      <c r="E661" s="60"/>
      <c r="F661" s="60"/>
      <c r="G661" s="29"/>
      <c r="H661" s="29"/>
      <c r="I661" s="30"/>
      <c r="J661" s="41">
        <v>632000</v>
      </c>
      <c r="K661" s="29"/>
      <c r="L661" s="82" t="s">
        <v>56</v>
      </c>
      <c r="M661" s="60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4.5">
      <c r="A662" s="29"/>
      <c r="B662" s="29"/>
      <c r="C662" s="29"/>
      <c r="D662" s="68" t="s">
        <v>57</v>
      </c>
      <c r="E662" s="60"/>
      <c r="F662" s="60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4.5">
      <c r="A663" s="29"/>
      <c r="B663" s="29"/>
      <c r="C663" s="29"/>
      <c r="D663" s="35" t="s">
        <v>58</v>
      </c>
      <c r="E663" s="68" t="s">
        <v>624</v>
      </c>
      <c r="F663" s="60"/>
      <c r="G663" s="42" t="s">
        <v>365</v>
      </c>
      <c r="H663" s="87">
        <v>83000</v>
      </c>
      <c r="I663" s="60"/>
      <c r="J663" s="41">
        <v>332000</v>
      </c>
      <c r="K663" s="29"/>
      <c r="L663" s="83"/>
      <c r="M663" s="60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4.5">
      <c r="A664" s="29"/>
      <c r="B664" s="29"/>
      <c r="C664" s="29"/>
      <c r="D664" s="35" t="s">
        <v>58</v>
      </c>
      <c r="E664" s="68" t="s">
        <v>625</v>
      </c>
      <c r="F664" s="60"/>
      <c r="G664" s="42" t="s">
        <v>365</v>
      </c>
      <c r="H664" s="87">
        <v>50000</v>
      </c>
      <c r="I664" s="60"/>
      <c r="J664" s="41">
        <v>200000</v>
      </c>
      <c r="K664" s="29"/>
      <c r="L664" s="83"/>
      <c r="M664" s="60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4.5">
      <c r="A665" s="29"/>
      <c r="B665" s="29"/>
      <c r="C665" s="29"/>
      <c r="D665" s="35" t="s">
        <v>58</v>
      </c>
      <c r="E665" s="68" t="s">
        <v>626</v>
      </c>
      <c r="F665" s="60"/>
      <c r="G665" s="42" t="s">
        <v>627</v>
      </c>
      <c r="H665" s="87">
        <v>50000</v>
      </c>
      <c r="I665" s="60"/>
      <c r="J665" s="41">
        <v>100000</v>
      </c>
      <c r="K665" s="29"/>
      <c r="L665" s="83"/>
      <c r="M665" s="60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4.5">
      <c r="A666" s="68" t="s">
        <v>90</v>
      </c>
      <c r="B666" s="60"/>
      <c r="C666" s="60"/>
      <c r="D666" s="72" t="s">
        <v>91</v>
      </c>
      <c r="E666" s="60"/>
      <c r="F666" s="60"/>
      <c r="G666" s="29"/>
      <c r="H666" s="29"/>
      <c r="I666" s="30"/>
      <c r="J666" s="41">
        <v>1998000</v>
      </c>
      <c r="K666" s="29"/>
      <c r="L666" s="82" t="s">
        <v>56</v>
      </c>
      <c r="M666" s="60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4.5">
      <c r="A667" s="29"/>
      <c r="B667" s="29"/>
      <c r="C667" s="29"/>
      <c r="D667" s="68" t="s">
        <v>57</v>
      </c>
      <c r="E667" s="60"/>
      <c r="F667" s="60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4.5">
      <c r="A668" s="29"/>
      <c r="B668" s="29"/>
      <c r="C668" s="29"/>
      <c r="D668" s="35" t="s">
        <v>58</v>
      </c>
      <c r="E668" s="68" t="s">
        <v>628</v>
      </c>
      <c r="F668" s="60"/>
      <c r="G668" s="42" t="s">
        <v>144</v>
      </c>
      <c r="H668" s="87">
        <v>111000</v>
      </c>
      <c r="I668" s="60"/>
      <c r="J668" s="41">
        <v>1998000</v>
      </c>
      <c r="K668" s="29"/>
      <c r="L668" s="83"/>
      <c r="M668" s="60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4.5">
      <c r="A669" s="68" t="s">
        <v>107</v>
      </c>
      <c r="B669" s="60"/>
      <c r="C669" s="60"/>
      <c r="D669" s="72" t="s">
        <v>108</v>
      </c>
      <c r="E669" s="60"/>
      <c r="F669" s="60"/>
      <c r="G669" s="29"/>
      <c r="H669" s="29"/>
      <c r="I669" s="30"/>
      <c r="J669" s="41">
        <v>651000</v>
      </c>
      <c r="K669" s="29"/>
      <c r="L669" s="82" t="s">
        <v>56</v>
      </c>
      <c r="M669" s="60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4.5">
      <c r="A670" s="29"/>
      <c r="B670" s="29"/>
      <c r="C670" s="29"/>
      <c r="D670" s="68" t="s">
        <v>57</v>
      </c>
      <c r="E670" s="60"/>
      <c r="F670" s="60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4.5">
      <c r="A671" s="29"/>
      <c r="B671" s="29"/>
      <c r="C671" s="29"/>
      <c r="D671" s="35" t="s">
        <v>58</v>
      </c>
      <c r="E671" s="68" t="s">
        <v>629</v>
      </c>
      <c r="F671" s="60"/>
      <c r="G671" s="42" t="s">
        <v>630</v>
      </c>
      <c r="H671" s="87">
        <v>598</v>
      </c>
      <c r="I671" s="60"/>
      <c r="J671" s="41">
        <v>134000</v>
      </c>
      <c r="K671" s="29"/>
      <c r="L671" s="83"/>
      <c r="M671" s="60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4.5">
      <c r="A672" s="29"/>
      <c r="B672" s="29"/>
      <c r="C672" s="29"/>
      <c r="D672" s="35" t="s">
        <v>58</v>
      </c>
      <c r="E672" s="68" t="s">
        <v>631</v>
      </c>
      <c r="F672" s="60"/>
      <c r="G672" s="42" t="s">
        <v>632</v>
      </c>
      <c r="H672" s="87">
        <v>575</v>
      </c>
      <c r="I672" s="60"/>
      <c r="J672" s="41">
        <v>8000</v>
      </c>
      <c r="K672" s="29"/>
      <c r="L672" s="83"/>
      <c r="M672" s="60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4.5">
      <c r="A673" s="29"/>
      <c r="B673" s="29"/>
      <c r="C673" s="29"/>
      <c r="D673" s="35" t="s">
        <v>58</v>
      </c>
      <c r="E673" s="68" t="s">
        <v>633</v>
      </c>
      <c r="F673" s="60"/>
      <c r="G673" s="42" t="s">
        <v>632</v>
      </c>
      <c r="H673" s="87">
        <v>643</v>
      </c>
      <c r="I673" s="60"/>
      <c r="J673" s="41">
        <v>9000</v>
      </c>
      <c r="K673" s="29"/>
      <c r="L673" s="83"/>
      <c r="M673" s="60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4.5">
      <c r="A674" s="29"/>
      <c r="B674" s="29"/>
      <c r="C674" s="29"/>
      <c r="D674" s="35" t="s">
        <v>58</v>
      </c>
      <c r="E674" s="68" t="s">
        <v>226</v>
      </c>
      <c r="F674" s="60"/>
      <c r="G674" s="42" t="s">
        <v>165</v>
      </c>
      <c r="H674" s="87">
        <v>250000</v>
      </c>
      <c r="I674" s="60"/>
      <c r="J674" s="41">
        <v>250000</v>
      </c>
      <c r="K674" s="29"/>
      <c r="L674" s="83"/>
      <c r="M674" s="60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4.5">
      <c r="A675" s="29"/>
      <c r="B675" s="29"/>
      <c r="C675" s="29"/>
      <c r="D675" s="35" t="s">
        <v>58</v>
      </c>
      <c r="E675" s="68" t="s">
        <v>634</v>
      </c>
      <c r="F675" s="60"/>
      <c r="G675" s="42" t="s">
        <v>165</v>
      </c>
      <c r="H675" s="87">
        <v>250000</v>
      </c>
      <c r="I675" s="60"/>
      <c r="J675" s="41">
        <v>250000</v>
      </c>
      <c r="K675" s="29"/>
      <c r="L675" s="83"/>
      <c r="M675" s="60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4.5">
      <c r="A676" s="68" t="s">
        <v>596</v>
      </c>
      <c r="B676" s="60"/>
      <c r="C676" s="60"/>
      <c r="D676" s="72" t="s">
        <v>597</v>
      </c>
      <c r="E676" s="60"/>
      <c r="F676" s="60"/>
      <c r="G676" s="29"/>
      <c r="H676" s="29"/>
      <c r="I676" s="30"/>
      <c r="J676" s="41">
        <v>340000</v>
      </c>
      <c r="K676" s="29"/>
      <c r="L676" s="82" t="s">
        <v>56</v>
      </c>
      <c r="M676" s="60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4.5">
      <c r="A677" s="29"/>
      <c r="B677" s="29"/>
      <c r="C677" s="29"/>
      <c r="D677" s="68" t="s">
        <v>57</v>
      </c>
      <c r="E677" s="60"/>
      <c r="F677" s="60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4.5">
      <c r="A678" s="29"/>
      <c r="B678" s="29"/>
      <c r="C678" s="29"/>
      <c r="D678" s="35" t="s">
        <v>58</v>
      </c>
      <c r="E678" s="68" t="s">
        <v>635</v>
      </c>
      <c r="F678" s="60"/>
      <c r="G678" s="42" t="s">
        <v>275</v>
      </c>
      <c r="H678" s="87">
        <v>170000</v>
      </c>
      <c r="I678" s="60"/>
      <c r="J678" s="41">
        <v>340000</v>
      </c>
      <c r="K678" s="29"/>
      <c r="L678" s="83"/>
      <c r="M678" s="60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4.5">
      <c r="A679" s="69" t="s">
        <v>48</v>
      </c>
      <c r="B679" s="60"/>
      <c r="C679" s="60"/>
      <c r="D679" s="69" t="s">
        <v>49</v>
      </c>
      <c r="E679" s="60"/>
      <c r="F679" s="60"/>
      <c r="G679" s="38" t="s">
        <v>50</v>
      </c>
      <c r="H679" s="29"/>
      <c r="I679" s="30"/>
      <c r="J679" s="37">
        <v>300000</v>
      </c>
      <c r="K679" s="39" t="s">
        <v>51</v>
      </c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4.5">
      <c r="A680" s="67" t="s">
        <v>52</v>
      </c>
      <c r="B680" s="60"/>
      <c r="C680" s="60"/>
      <c r="D680" s="67" t="s">
        <v>53</v>
      </c>
      <c r="E680" s="60"/>
      <c r="F680" s="60"/>
      <c r="G680" s="29"/>
      <c r="H680" s="29"/>
      <c r="I680" s="30"/>
      <c r="J680" s="40">
        <v>300000</v>
      </c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4.5">
      <c r="A681" s="68" t="s">
        <v>223</v>
      </c>
      <c r="B681" s="60"/>
      <c r="C681" s="60"/>
      <c r="D681" s="72" t="s">
        <v>224</v>
      </c>
      <c r="E681" s="60"/>
      <c r="F681" s="60"/>
      <c r="G681" s="29"/>
      <c r="H681" s="29"/>
      <c r="I681" s="30"/>
      <c r="J681" s="41">
        <v>300000</v>
      </c>
      <c r="K681" s="29"/>
      <c r="L681" s="82" t="s">
        <v>56</v>
      </c>
      <c r="M681" s="60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4.5">
      <c r="A682" s="29"/>
      <c r="B682" s="29"/>
      <c r="C682" s="29"/>
      <c r="D682" s="68" t="s">
        <v>57</v>
      </c>
      <c r="E682" s="60"/>
      <c r="F682" s="60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4.5">
      <c r="A683" s="29"/>
      <c r="B683" s="29"/>
      <c r="C683" s="29"/>
      <c r="D683" s="35" t="s">
        <v>58</v>
      </c>
      <c r="E683" s="68" t="s">
        <v>636</v>
      </c>
      <c r="F683" s="60"/>
      <c r="G683" s="42" t="s">
        <v>114</v>
      </c>
      <c r="H683" s="87">
        <v>50000</v>
      </c>
      <c r="I683" s="60"/>
      <c r="J683" s="41">
        <v>300000</v>
      </c>
      <c r="K683" s="29"/>
      <c r="L683" s="83"/>
      <c r="M683" s="60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4.5">
      <c r="A684" s="70" t="s">
        <v>637</v>
      </c>
      <c r="B684" s="60"/>
      <c r="C684" s="60"/>
      <c r="D684" s="70" t="s">
        <v>638</v>
      </c>
      <c r="E684" s="60"/>
      <c r="F684" s="60"/>
      <c r="G684" s="29"/>
      <c r="H684" s="29"/>
      <c r="I684" s="30"/>
      <c r="J684" s="32">
        <v>15130000</v>
      </c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7.5">
      <c r="A685" s="71" t="s">
        <v>639</v>
      </c>
      <c r="B685" s="60"/>
      <c r="C685" s="60"/>
      <c r="D685" s="71" t="s">
        <v>42</v>
      </c>
      <c r="E685" s="60"/>
      <c r="F685" s="60"/>
      <c r="G685" s="33" t="s">
        <v>64</v>
      </c>
      <c r="H685" s="29"/>
      <c r="I685" s="30"/>
      <c r="J685" s="34">
        <v>15130000</v>
      </c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4.5">
      <c r="A686" s="29"/>
      <c r="B686" s="29"/>
      <c r="C686" s="29"/>
      <c r="D686" s="68" t="s">
        <v>44</v>
      </c>
      <c r="E686" s="60"/>
      <c r="F686" s="60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4.5">
      <c r="A687" s="69" t="s">
        <v>640</v>
      </c>
      <c r="B687" s="60"/>
      <c r="C687" s="60"/>
      <c r="D687" s="69" t="s">
        <v>641</v>
      </c>
      <c r="E687" s="60"/>
      <c r="F687" s="60"/>
      <c r="G687" s="36" t="s">
        <v>67</v>
      </c>
      <c r="H687" s="29"/>
      <c r="I687" s="30"/>
      <c r="J687" s="37">
        <v>15130000</v>
      </c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4.5">
      <c r="A688" s="69" t="s">
        <v>88</v>
      </c>
      <c r="B688" s="60"/>
      <c r="C688" s="60"/>
      <c r="D688" s="69" t="s">
        <v>89</v>
      </c>
      <c r="E688" s="60"/>
      <c r="F688" s="60"/>
      <c r="G688" s="38" t="s">
        <v>50</v>
      </c>
      <c r="H688" s="29"/>
      <c r="I688" s="30"/>
      <c r="J688" s="37">
        <v>11478000</v>
      </c>
      <c r="K688" s="39" t="s">
        <v>51</v>
      </c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4.5">
      <c r="A689" s="67" t="s">
        <v>52</v>
      </c>
      <c r="B689" s="60"/>
      <c r="C689" s="60"/>
      <c r="D689" s="67" t="s">
        <v>53</v>
      </c>
      <c r="E689" s="60"/>
      <c r="F689" s="60"/>
      <c r="G689" s="29"/>
      <c r="H689" s="29"/>
      <c r="I689" s="30"/>
      <c r="J689" s="40">
        <v>11478000</v>
      </c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4.5">
      <c r="A690" s="68" t="s">
        <v>90</v>
      </c>
      <c r="B690" s="60"/>
      <c r="C690" s="60"/>
      <c r="D690" s="72" t="s">
        <v>91</v>
      </c>
      <c r="E690" s="60"/>
      <c r="F690" s="60"/>
      <c r="G690" s="29"/>
      <c r="H690" s="29"/>
      <c r="I690" s="30"/>
      <c r="J690" s="41">
        <v>10288000</v>
      </c>
      <c r="K690" s="29"/>
      <c r="L690" s="82" t="s">
        <v>56</v>
      </c>
      <c r="M690" s="60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4.5">
      <c r="A691" s="29"/>
      <c r="B691" s="29"/>
      <c r="C691" s="29"/>
      <c r="D691" s="68" t="s">
        <v>57</v>
      </c>
      <c r="E691" s="60"/>
      <c r="F691" s="60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4.5">
      <c r="A692" s="29"/>
      <c r="B692" s="29"/>
      <c r="C692" s="29"/>
      <c r="D692" s="35" t="s">
        <v>58</v>
      </c>
      <c r="E692" s="68" t="s">
        <v>642</v>
      </c>
      <c r="F692" s="60"/>
      <c r="G692" s="42" t="s">
        <v>296</v>
      </c>
      <c r="H692" s="87">
        <v>57000</v>
      </c>
      <c r="I692" s="60"/>
      <c r="J692" s="41">
        <v>1368000</v>
      </c>
      <c r="K692" s="29"/>
      <c r="L692" s="83"/>
      <c r="M692" s="60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4.5">
      <c r="A693" s="29"/>
      <c r="B693" s="29"/>
      <c r="C693" s="29"/>
      <c r="D693" s="35" t="s">
        <v>58</v>
      </c>
      <c r="E693" s="68" t="s">
        <v>643</v>
      </c>
      <c r="F693" s="60"/>
      <c r="G693" s="42" t="s">
        <v>491</v>
      </c>
      <c r="H693" s="87">
        <v>232000</v>
      </c>
      <c r="I693" s="60"/>
      <c r="J693" s="41">
        <v>2320000</v>
      </c>
      <c r="K693" s="29"/>
      <c r="L693" s="83"/>
      <c r="M693" s="60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4.5">
      <c r="A694" s="29"/>
      <c r="B694" s="29"/>
      <c r="C694" s="29"/>
      <c r="D694" s="35" t="s">
        <v>58</v>
      </c>
      <c r="E694" s="68" t="s">
        <v>644</v>
      </c>
      <c r="F694" s="60"/>
      <c r="G694" s="42" t="s">
        <v>645</v>
      </c>
      <c r="H694" s="87">
        <v>66000</v>
      </c>
      <c r="I694" s="60"/>
      <c r="J694" s="41">
        <v>6600000</v>
      </c>
      <c r="K694" s="29"/>
      <c r="L694" s="83"/>
      <c r="M694" s="60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4.5">
      <c r="A695" s="68" t="s">
        <v>54</v>
      </c>
      <c r="B695" s="60"/>
      <c r="C695" s="60"/>
      <c r="D695" s="72" t="s">
        <v>55</v>
      </c>
      <c r="E695" s="60"/>
      <c r="F695" s="60"/>
      <c r="G695" s="29"/>
      <c r="H695" s="29"/>
      <c r="I695" s="30"/>
      <c r="J695" s="41">
        <v>1190000</v>
      </c>
      <c r="K695" s="29"/>
      <c r="L695" s="82" t="s">
        <v>56</v>
      </c>
      <c r="M695" s="60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4.5">
      <c r="A696" s="29"/>
      <c r="B696" s="29"/>
      <c r="C696" s="29"/>
      <c r="D696" s="68" t="s">
        <v>57</v>
      </c>
      <c r="E696" s="60"/>
      <c r="F696" s="60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4.5">
      <c r="A697" s="29"/>
      <c r="B697" s="29"/>
      <c r="C697" s="29"/>
      <c r="D697" s="35" t="s">
        <v>58</v>
      </c>
      <c r="E697" s="68" t="s">
        <v>646</v>
      </c>
      <c r="F697" s="60"/>
      <c r="G697" s="42" t="s">
        <v>60</v>
      </c>
      <c r="H697" s="87">
        <v>170000</v>
      </c>
      <c r="I697" s="60"/>
      <c r="J697" s="41">
        <v>170000</v>
      </c>
      <c r="K697" s="29"/>
      <c r="L697" s="83"/>
      <c r="M697" s="60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4.5">
      <c r="A698" s="29"/>
      <c r="B698" s="29"/>
      <c r="C698" s="29"/>
      <c r="D698" s="35" t="s">
        <v>58</v>
      </c>
      <c r="E698" s="68" t="s">
        <v>647</v>
      </c>
      <c r="F698" s="60"/>
      <c r="G698" s="42" t="s">
        <v>97</v>
      </c>
      <c r="H698" s="87">
        <v>170000</v>
      </c>
      <c r="I698" s="60"/>
      <c r="J698" s="41">
        <v>340000</v>
      </c>
      <c r="K698" s="29"/>
      <c r="L698" s="83"/>
      <c r="M698" s="60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4.5">
      <c r="A699" s="29"/>
      <c r="B699" s="29"/>
      <c r="C699" s="29"/>
      <c r="D699" s="35" t="s">
        <v>58</v>
      </c>
      <c r="E699" s="68" t="s">
        <v>648</v>
      </c>
      <c r="F699" s="60"/>
      <c r="G699" s="42" t="s">
        <v>365</v>
      </c>
      <c r="H699" s="87">
        <v>170000</v>
      </c>
      <c r="I699" s="60"/>
      <c r="J699" s="41">
        <v>680000</v>
      </c>
      <c r="K699" s="29"/>
      <c r="L699" s="83"/>
      <c r="M699" s="60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4.5">
      <c r="A700" s="69" t="s">
        <v>99</v>
      </c>
      <c r="B700" s="60"/>
      <c r="C700" s="60"/>
      <c r="D700" s="69" t="s">
        <v>100</v>
      </c>
      <c r="E700" s="60"/>
      <c r="F700" s="60"/>
      <c r="G700" s="38" t="s">
        <v>50</v>
      </c>
      <c r="H700" s="29"/>
      <c r="I700" s="30"/>
      <c r="J700" s="37">
        <v>2852000</v>
      </c>
      <c r="K700" s="39" t="s">
        <v>51</v>
      </c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4.5">
      <c r="A701" s="67" t="s">
        <v>52</v>
      </c>
      <c r="B701" s="60"/>
      <c r="C701" s="60"/>
      <c r="D701" s="67" t="s">
        <v>53</v>
      </c>
      <c r="E701" s="60"/>
      <c r="F701" s="60"/>
      <c r="G701" s="29"/>
      <c r="H701" s="29"/>
      <c r="I701" s="30"/>
      <c r="J701" s="40">
        <v>2852000</v>
      </c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4.5">
      <c r="A702" s="68" t="s">
        <v>101</v>
      </c>
      <c r="B702" s="60"/>
      <c r="C702" s="60"/>
      <c r="D702" s="72" t="s">
        <v>102</v>
      </c>
      <c r="E702" s="60"/>
      <c r="F702" s="60"/>
      <c r="G702" s="29"/>
      <c r="H702" s="29"/>
      <c r="I702" s="30"/>
      <c r="J702" s="41">
        <v>665000</v>
      </c>
      <c r="K702" s="29"/>
      <c r="L702" s="82" t="s">
        <v>56</v>
      </c>
      <c r="M702" s="60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4.5">
      <c r="A703" s="29"/>
      <c r="B703" s="29"/>
      <c r="C703" s="29"/>
      <c r="D703" s="68" t="s">
        <v>57</v>
      </c>
      <c r="E703" s="60"/>
      <c r="F703" s="60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4.5">
      <c r="A704" s="29"/>
      <c r="B704" s="29"/>
      <c r="C704" s="29"/>
      <c r="D704" s="35" t="s">
        <v>58</v>
      </c>
      <c r="E704" s="68" t="s">
        <v>649</v>
      </c>
      <c r="F704" s="60"/>
      <c r="G704" s="42" t="s">
        <v>134</v>
      </c>
      <c r="H704" s="87">
        <v>83000</v>
      </c>
      <c r="I704" s="60"/>
      <c r="J704" s="41">
        <v>415000</v>
      </c>
      <c r="K704" s="29"/>
      <c r="L704" s="83"/>
      <c r="M704" s="60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4.5">
      <c r="A705" s="29"/>
      <c r="B705" s="29"/>
      <c r="C705" s="29"/>
      <c r="D705" s="35" t="s">
        <v>58</v>
      </c>
      <c r="E705" s="68" t="s">
        <v>650</v>
      </c>
      <c r="F705" s="60"/>
      <c r="G705" s="42" t="s">
        <v>221</v>
      </c>
      <c r="H705" s="87">
        <v>50000</v>
      </c>
      <c r="I705" s="60"/>
      <c r="J705" s="41">
        <v>250000</v>
      </c>
      <c r="K705" s="29"/>
      <c r="L705" s="83"/>
      <c r="M705" s="60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4.5">
      <c r="A706" s="68" t="s">
        <v>90</v>
      </c>
      <c r="B706" s="60"/>
      <c r="C706" s="60"/>
      <c r="D706" s="72" t="s">
        <v>91</v>
      </c>
      <c r="E706" s="60"/>
      <c r="F706" s="60"/>
      <c r="G706" s="29"/>
      <c r="H706" s="29"/>
      <c r="I706" s="30"/>
      <c r="J706" s="41">
        <v>999000</v>
      </c>
      <c r="K706" s="29"/>
      <c r="L706" s="82" t="s">
        <v>56</v>
      </c>
      <c r="M706" s="60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4.5">
      <c r="A707" s="29"/>
      <c r="B707" s="29"/>
      <c r="C707" s="29"/>
      <c r="D707" s="68" t="s">
        <v>57</v>
      </c>
      <c r="E707" s="60"/>
      <c r="F707" s="60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4.5">
      <c r="A708" s="29"/>
      <c r="B708" s="29"/>
      <c r="C708" s="29"/>
      <c r="D708" s="35" t="s">
        <v>58</v>
      </c>
      <c r="E708" s="68" t="s">
        <v>651</v>
      </c>
      <c r="F708" s="60"/>
      <c r="G708" s="42" t="s">
        <v>106</v>
      </c>
      <c r="H708" s="87">
        <v>111000</v>
      </c>
      <c r="I708" s="60"/>
      <c r="J708" s="41">
        <v>999000</v>
      </c>
      <c r="K708" s="29"/>
      <c r="L708" s="83"/>
      <c r="M708" s="60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4.5">
      <c r="A709" s="68" t="s">
        <v>107</v>
      </c>
      <c r="B709" s="60"/>
      <c r="C709" s="60"/>
      <c r="D709" s="72" t="s">
        <v>108</v>
      </c>
      <c r="E709" s="60"/>
      <c r="F709" s="60"/>
      <c r="G709" s="29"/>
      <c r="H709" s="29"/>
      <c r="I709" s="30"/>
      <c r="J709" s="41">
        <v>938000</v>
      </c>
      <c r="K709" s="29"/>
      <c r="L709" s="82" t="s">
        <v>56</v>
      </c>
      <c r="M709" s="60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4.5">
      <c r="A710" s="29"/>
      <c r="B710" s="29"/>
      <c r="C710" s="29"/>
      <c r="D710" s="68" t="s">
        <v>57</v>
      </c>
      <c r="E710" s="60"/>
      <c r="F710" s="60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4.5">
      <c r="A711" s="29"/>
      <c r="B711" s="29"/>
      <c r="C711" s="29"/>
      <c r="D711" s="35" t="s">
        <v>58</v>
      </c>
      <c r="E711" s="68" t="s">
        <v>652</v>
      </c>
      <c r="F711" s="60"/>
      <c r="G711" s="42" t="s">
        <v>653</v>
      </c>
      <c r="H711" s="87">
        <v>600</v>
      </c>
      <c r="I711" s="60"/>
      <c r="J711" s="41">
        <v>468000</v>
      </c>
      <c r="K711" s="29"/>
      <c r="L711" s="83"/>
      <c r="M711" s="60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4.5">
      <c r="A712" s="29"/>
      <c r="B712" s="29"/>
      <c r="C712" s="29"/>
      <c r="D712" s="35" t="s">
        <v>58</v>
      </c>
      <c r="E712" s="68" t="s">
        <v>654</v>
      </c>
      <c r="F712" s="60"/>
      <c r="G712" s="42" t="s">
        <v>655</v>
      </c>
      <c r="H712" s="87">
        <v>599</v>
      </c>
      <c r="I712" s="60"/>
      <c r="J712" s="41">
        <v>20000</v>
      </c>
      <c r="K712" s="29"/>
      <c r="L712" s="83"/>
      <c r="M712" s="60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4.5">
      <c r="A713" s="29"/>
      <c r="B713" s="29"/>
      <c r="C713" s="29"/>
      <c r="D713" s="35" t="s">
        <v>58</v>
      </c>
      <c r="E713" s="68" t="s">
        <v>392</v>
      </c>
      <c r="F713" s="60"/>
      <c r="G713" s="42" t="s">
        <v>656</v>
      </c>
      <c r="H713" s="87">
        <v>112500</v>
      </c>
      <c r="I713" s="60"/>
      <c r="J713" s="41">
        <v>225000</v>
      </c>
      <c r="K713" s="29"/>
      <c r="L713" s="83"/>
      <c r="M713" s="60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4.5">
      <c r="A714" s="29"/>
      <c r="B714" s="29"/>
      <c r="C714" s="29"/>
      <c r="D714" s="35" t="s">
        <v>58</v>
      </c>
      <c r="E714" s="68" t="s">
        <v>146</v>
      </c>
      <c r="F714" s="60"/>
      <c r="G714" s="42" t="s">
        <v>656</v>
      </c>
      <c r="H714" s="87">
        <v>112500</v>
      </c>
      <c r="I714" s="60"/>
      <c r="J714" s="41">
        <v>225000</v>
      </c>
      <c r="K714" s="29"/>
      <c r="L714" s="83"/>
      <c r="M714" s="60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4.5">
      <c r="A715" s="68" t="s">
        <v>54</v>
      </c>
      <c r="B715" s="60"/>
      <c r="C715" s="60"/>
      <c r="D715" s="72" t="s">
        <v>55</v>
      </c>
      <c r="E715" s="60"/>
      <c r="F715" s="60"/>
      <c r="G715" s="29"/>
      <c r="H715" s="29"/>
      <c r="I715" s="30"/>
      <c r="J715" s="41">
        <v>250000</v>
      </c>
      <c r="K715" s="29"/>
      <c r="L715" s="82" t="s">
        <v>56</v>
      </c>
      <c r="M715" s="60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4.5">
      <c r="A716" s="29"/>
      <c r="B716" s="29"/>
      <c r="C716" s="29"/>
      <c r="D716" s="68" t="s">
        <v>57</v>
      </c>
      <c r="E716" s="60"/>
      <c r="F716" s="60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4.5">
      <c r="A717" s="29"/>
      <c r="B717" s="29"/>
      <c r="C717" s="29"/>
      <c r="D717" s="35" t="s">
        <v>58</v>
      </c>
      <c r="E717" s="68" t="s">
        <v>657</v>
      </c>
      <c r="F717" s="60"/>
      <c r="G717" s="42" t="s">
        <v>134</v>
      </c>
      <c r="H717" s="87">
        <v>50000</v>
      </c>
      <c r="I717" s="60"/>
      <c r="J717" s="41">
        <v>250000</v>
      </c>
      <c r="K717" s="29"/>
      <c r="L717" s="83"/>
      <c r="M717" s="60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4.5">
      <c r="A718" s="69" t="s">
        <v>48</v>
      </c>
      <c r="B718" s="60"/>
      <c r="C718" s="60"/>
      <c r="D718" s="69" t="s">
        <v>49</v>
      </c>
      <c r="E718" s="60"/>
      <c r="F718" s="60"/>
      <c r="G718" s="38" t="s">
        <v>50</v>
      </c>
      <c r="H718" s="29"/>
      <c r="I718" s="30"/>
      <c r="J718" s="37">
        <v>800000</v>
      </c>
      <c r="K718" s="39" t="s">
        <v>51</v>
      </c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4.5">
      <c r="A719" s="67" t="s">
        <v>52</v>
      </c>
      <c r="B719" s="60"/>
      <c r="C719" s="60"/>
      <c r="D719" s="67" t="s">
        <v>53</v>
      </c>
      <c r="E719" s="60"/>
      <c r="F719" s="60"/>
      <c r="G719" s="29"/>
      <c r="H719" s="29"/>
      <c r="I719" s="30"/>
      <c r="J719" s="40">
        <v>800000</v>
      </c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4.5">
      <c r="A720" s="68" t="s">
        <v>101</v>
      </c>
      <c r="B720" s="60"/>
      <c r="C720" s="60"/>
      <c r="D720" s="72" t="s">
        <v>102</v>
      </c>
      <c r="E720" s="60"/>
      <c r="F720" s="60"/>
      <c r="G720" s="29"/>
      <c r="H720" s="29"/>
      <c r="I720" s="30"/>
      <c r="J720" s="41">
        <v>750000</v>
      </c>
      <c r="K720" s="29"/>
      <c r="L720" s="82" t="s">
        <v>56</v>
      </c>
      <c r="M720" s="60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4.5">
      <c r="A721" s="29"/>
      <c r="B721" s="29"/>
      <c r="C721" s="29"/>
      <c r="D721" s="68" t="s">
        <v>57</v>
      </c>
      <c r="E721" s="60"/>
      <c r="F721" s="60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4.5">
      <c r="A722" s="29"/>
      <c r="B722" s="29"/>
      <c r="C722" s="29"/>
      <c r="D722" s="35" t="s">
        <v>58</v>
      </c>
      <c r="E722" s="68" t="s">
        <v>658</v>
      </c>
      <c r="F722" s="60"/>
      <c r="G722" s="42" t="s">
        <v>437</v>
      </c>
      <c r="H722" s="87">
        <v>50000</v>
      </c>
      <c r="I722" s="60"/>
      <c r="J722" s="41">
        <v>750000</v>
      </c>
      <c r="K722" s="29"/>
      <c r="L722" s="83"/>
      <c r="M722" s="60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4.5">
      <c r="A723" s="68" t="s">
        <v>54</v>
      </c>
      <c r="B723" s="60"/>
      <c r="C723" s="60"/>
      <c r="D723" s="72" t="s">
        <v>55</v>
      </c>
      <c r="E723" s="60"/>
      <c r="F723" s="60"/>
      <c r="G723" s="29"/>
      <c r="H723" s="29"/>
      <c r="I723" s="30"/>
      <c r="J723" s="41">
        <v>50000</v>
      </c>
      <c r="K723" s="29"/>
      <c r="L723" s="82" t="s">
        <v>56</v>
      </c>
      <c r="M723" s="60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4.5">
      <c r="A724" s="29"/>
      <c r="B724" s="29"/>
      <c r="C724" s="29"/>
      <c r="D724" s="68" t="s">
        <v>57</v>
      </c>
      <c r="E724" s="60"/>
      <c r="F724" s="60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4.5">
      <c r="A725" s="29"/>
      <c r="B725" s="29"/>
      <c r="C725" s="29"/>
      <c r="D725" s="35" t="s">
        <v>58</v>
      </c>
      <c r="E725" s="68" t="s">
        <v>408</v>
      </c>
      <c r="F725" s="60"/>
      <c r="G725" s="42" t="s">
        <v>118</v>
      </c>
      <c r="H725" s="87">
        <v>50000</v>
      </c>
      <c r="I725" s="60"/>
      <c r="J725" s="41">
        <v>50000</v>
      </c>
      <c r="K725" s="29"/>
      <c r="L725" s="83"/>
      <c r="M725" s="60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4.5">
      <c r="A726" s="70" t="s">
        <v>659</v>
      </c>
      <c r="B726" s="60"/>
      <c r="C726" s="60"/>
      <c r="D726" s="70" t="s">
        <v>660</v>
      </c>
      <c r="E726" s="60"/>
      <c r="F726" s="60"/>
      <c r="G726" s="29"/>
      <c r="H726" s="29"/>
      <c r="I726" s="30"/>
      <c r="J726" s="32">
        <v>56914000</v>
      </c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7.5">
      <c r="A727" s="71" t="s">
        <v>661</v>
      </c>
      <c r="B727" s="60"/>
      <c r="C727" s="60"/>
      <c r="D727" s="71" t="s">
        <v>42</v>
      </c>
      <c r="E727" s="60"/>
      <c r="F727" s="60"/>
      <c r="G727" s="33" t="s">
        <v>662</v>
      </c>
      <c r="H727" s="29"/>
      <c r="I727" s="30"/>
      <c r="J727" s="34">
        <v>56914000</v>
      </c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4.5">
      <c r="A728" s="29"/>
      <c r="B728" s="29"/>
      <c r="C728" s="29"/>
      <c r="D728" s="68" t="s">
        <v>44</v>
      </c>
      <c r="E728" s="60"/>
      <c r="F728" s="60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4.5">
      <c r="A729" s="69" t="s">
        <v>663</v>
      </c>
      <c r="B729" s="60"/>
      <c r="C729" s="60"/>
      <c r="D729" s="69" t="s">
        <v>664</v>
      </c>
      <c r="E729" s="60"/>
      <c r="F729" s="60"/>
      <c r="G729" s="36" t="s">
        <v>67</v>
      </c>
      <c r="H729" s="29"/>
      <c r="I729" s="30"/>
      <c r="J729" s="37">
        <v>45751000</v>
      </c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4.5">
      <c r="A730" s="69" t="s">
        <v>88</v>
      </c>
      <c r="B730" s="60"/>
      <c r="C730" s="60"/>
      <c r="D730" s="69" t="s">
        <v>89</v>
      </c>
      <c r="E730" s="60"/>
      <c r="F730" s="60"/>
      <c r="G730" s="38" t="s">
        <v>50</v>
      </c>
      <c r="H730" s="29"/>
      <c r="I730" s="30"/>
      <c r="J730" s="37">
        <v>34898000</v>
      </c>
      <c r="K730" s="39" t="s">
        <v>51</v>
      </c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4.5">
      <c r="A731" s="67" t="s">
        <v>52</v>
      </c>
      <c r="B731" s="60"/>
      <c r="C731" s="60"/>
      <c r="D731" s="67" t="s">
        <v>53</v>
      </c>
      <c r="E731" s="60"/>
      <c r="F731" s="60"/>
      <c r="G731" s="29"/>
      <c r="H731" s="29"/>
      <c r="I731" s="30"/>
      <c r="J731" s="40">
        <v>34898000</v>
      </c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4.5">
      <c r="A732" s="68" t="s">
        <v>90</v>
      </c>
      <c r="B732" s="60"/>
      <c r="C732" s="60"/>
      <c r="D732" s="72" t="s">
        <v>91</v>
      </c>
      <c r="E732" s="60"/>
      <c r="F732" s="60"/>
      <c r="G732" s="29"/>
      <c r="H732" s="29"/>
      <c r="I732" s="30"/>
      <c r="J732" s="41">
        <v>31328000</v>
      </c>
      <c r="K732" s="29"/>
      <c r="L732" s="82" t="s">
        <v>56</v>
      </c>
      <c r="M732" s="60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4.5">
      <c r="A733" s="29"/>
      <c r="B733" s="29"/>
      <c r="C733" s="29"/>
      <c r="D733" s="68" t="s">
        <v>57</v>
      </c>
      <c r="E733" s="60"/>
      <c r="F733" s="60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4.5">
      <c r="A734" s="29"/>
      <c r="B734" s="29"/>
      <c r="C734" s="29"/>
      <c r="D734" s="35" t="s">
        <v>58</v>
      </c>
      <c r="E734" s="68" t="s">
        <v>665</v>
      </c>
      <c r="F734" s="60"/>
      <c r="G734" s="42" t="s">
        <v>666</v>
      </c>
      <c r="H734" s="87">
        <v>56000</v>
      </c>
      <c r="I734" s="60"/>
      <c r="J734" s="41">
        <v>2688000</v>
      </c>
      <c r="K734" s="29"/>
      <c r="L734" s="83"/>
      <c r="M734" s="60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4.5">
      <c r="A735" s="29"/>
      <c r="B735" s="29"/>
      <c r="C735" s="29"/>
      <c r="D735" s="35" t="s">
        <v>58</v>
      </c>
      <c r="E735" s="68" t="s">
        <v>667</v>
      </c>
      <c r="F735" s="60"/>
      <c r="G735" s="42" t="s">
        <v>668</v>
      </c>
      <c r="H735" s="87">
        <v>110000</v>
      </c>
      <c r="I735" s="60"/>
      <c r="J735" s="41">
        <v>18480000</v>
      </c>
      <c r="K735" s="29"/>
      <c r="L735" s="83"/>
      <c r="M735" s="60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4.5">
      <c r="A736" s="29"/>
      <c r="B736" s="29"/>
      <c r="C736" s="29"/>
      <c r="D736" s="35" t="s">
        <v>58</v>
      </c>
      <c r="E736" s="68" t="s">
        <v>669</v>
      </c>
      <c r="F736" s="60"/>
      <c r="G736" s="42" t="s">
        <v>670</v>
      </c>
      <c r="H736" s="87">
        <v>81000</v>
      </c>
      <c r="I736" s="60"/>
      <c r="J736" s="41">
        <v>3969000</v>
      </c>
      <c r="K736" s="29"/>
      <c r="L736" s="83"/>
      <c r="M736" s="60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4.5">
      <c r="A737" s="29"/>
      <c r="B737" s="29"/>
      <c r="C737" s="29"/>
      <c r="D737" s="35" t="s">
        <v>58</v>
      </c>
      <c r="E737" s="68" t="s">
        <v>671</v>
      </c>
      <c r="F737" s="60"/>
      <c r="G737" s="42" t="s">
        <v>672</v>
      </c>
      <c r="H737" s="87">
        <v>81000</v>
      </c>
      <c r="I737" s="60"/>
      <c r="J737" s="41">
        <v>2592000</v>
      </c>
      <c r="K737" s="29"/>
      <c r="L737" s="83"/>
      <c r="M737" s="60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4.5">
      <c r="A738" s="29"/>
      <c r="B738" s="29"/>
      <c r="C738" s="29"/>
      <c r="D738" s="35" t="s">
        <v>58</v>
      </c>
      <c r="E738" s="68" t="s">
        <v>673</v>
      </c>
      <c r="F738" s="60"/>
      <c r="G738" s="42" t="s">
        <v>674</v>
      </c>
      <c r="H738" s="87">
        <v>168000</v>
      </c>
      <c r="I738" s="60"/>
      <c r="J738" s="41">
        <v>1848000</v>
      </c>
      <c r="K738" s="29"/>
      <c r="L738" s="83"/>
      <c r="M738" s="60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4.5">
      <c r="A739" s="29"/>
      <c r="B739" s="29"/>
      <c r="C739" s="29"/>
      <c r="D739" s="35" t="s">
        <v>58</v>
      </c>
      <c r="E739" s="68" t="s">
        <v>675</v>
      </c>
      <c r="F739" s="60"/>
      <c r="G739" s="42" t="s">
        <v>670</v>
      </c>
      <c r="H739" s="87">
        <v>17000</v>
      </c>
      <c r="I739" s="60"/>
      <c r="J739" s="41">
        <v>833000</v>
      </c>
      <c r="K739" s="29"/>
      <c r="L739" s="83"/>
      <c r="M739" s="60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4.5">
      <c r="A740" s="29"/>
      <c r="B740" s="29"/>
      <c r="C740" s="29"/>
      <c r="D740" s="35" t="s">
        <v>58</v>
      </c>
      <c r="E740" s="68" t="s">
        <v>676</v>
      </c>
      <c r="F740" s="60"/>
      <c r="G740" s="42" t="s">
        <v>672</v>
      </c>
      <c r="H740" s="87">
        <v>17000</v>
      </c>
      <c r="I740" s="60"/>
      <c r="J740" s="41">
        <v>544000</v>
      </c>
      <c r="K740" s="29"/>
      <c r="L740" s="83"/>
      <c r="M740" s="60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4.5">
      <c r="A741" s="29"/>
      <c r="B741" s="29"/>
      <c r="C741" s="29"/>
      <c r="D741" s="35" t="s">
        <v>58</v>
      </c>
      <c r="E741" s="68" t="s">
        <v>677</v>
      </c>
      <c r="F741" s="60"/>
      <c r="G741" s="42" t="s">
        <v>352</v>
      </c>
      <c r="H741" s="87">
        <v>34000</v>
      </c>
      <c r="I741" s="60"/>
      <c r="J741" s="41">
        <v>374000</v>
      </c>
      <c r="K741" s="29"/>
      <c r="L741" s="83"/>
      <c r="M741" s="60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4.5">
      <c r="A742" s="68" t="s">
        <v>54</v>
      </c>
      <c r="B742" s="60"/>
      <c r="C742" s="60"/>
      <c r="D742" s="72" t="s">
        <v>55</v>
      </c>
      <c r="E742" s="60"/>
      <c r="F742" s="60"/>
      <c r="G742" s="29"/>
      <c r="H742" s="29"/>
      <c r="I742" s="30"/>
      <c r="J742" s="41">
        <v>3570000</v>
      </c>
      <c r="K742" s="29"/>
      <c r="L742" s="82" t="s">
        <v>56</v>
      </c>
      <c r="M742" s="60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4.5">
      <c r="A743" s="29"/>
      <c r="B743" s="29"/>
      <c r="C743" s="29"/>
      <c r="D743" s="68" t="s">
        <v>57</v>
      </c>
      <c r="E743" s="60"/>
      <c r="F743" s="60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4.5">
      <c r="A744" s="29"/>
      <c r="B744" s="29"/>
      <c r="C744" s="29"/>
      <c r="D744" s="35" t="s">
        <v>58</v>
      </c>
      <c r="E744" s="68" t="s">
        <v>678</v>
      </c>
      <c r="F744" s="60"/>
      <c r="G744" s="42" t="s">
        <v>60</v>
      </c>
      <c r="H744" s="87">
        <v>170000</v>
      </c>
      <c r="I744" s="60"/>
      <c r="J744" s="41">
        <v>170000</v>
      </c>
      <c r="K744" s="29"/>
      <c r="L744" s="83"/>
      <c r="M744" s="60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4.5">
      <c r="A745" s="29"/>
      <c r="B745" s="29"/>
      <c r="C745" s="29"/>
      <c r="D745" s="35" t="s">
        <v>58</v>
      </c>
      <c r="E745" s="68" t="s">
        <v>679</v>
      </c>
      <c r="F745" s="60"/>
      <c r="G745" s="42" t="s">
        <v>97</v>
      </c>
      <c r="H745" s="87">
        <v>170000</v>
      </c>
      <c r="I745" s="60"/>
      <c r="J745" s="41">
        <v>340000</v>
      </c>
      <c r="K745" s="29"/>
      <c r="L745" s="83"/>
      <c r="M745" s="60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4.5">
      <c r="A746" s="29"/>
      <c r="B746" s="29"/>
      <c r="C746" s="29"/>
      <c r="D746" s="35" t="s">
        <v>58</v>
      </c>
      <c r="E746" s="68" t="s">
        <v>680</v>
      </c>
      <c r="F746" s="60"/>
      <c r="G746" s="42" t="s">
        <v>444</v>
      </c>
      <c r="H746" s="87">
        <v>170000</v>
      </c>
      <c r="I746" s="60"/>
      <c r="J746" s="41">
        <v>1700000</v>
      </c>
      <c r="K746" s="29"/>
      <c r="L746" s="83"/>
      <c r="M746" s="60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4.5">
      <c r="A747" s="29"/>
      <c r="B747" s="29"/>
      <c r="C747" s="29"/>
      <c r="D747" s="35" t="s">
        <v>58</v>
      </c>
      <c r="E747" s="68" t="s">
        <v>681</v>
      </c>
      <c r="F747" s="60"/>
      <c r="G747" s="42" t="s">
        <v>69</v>
      </c>
      <c r="H747" s="87">
        <v>170000</v>
      </c>
      <c r="I747" s="60"/>
      <c r="J747" s="41">
        <v>510000</v>
      </c>
      <c r="K747" s="29"/>
      <c r="L747" s="83"/>
      <c r="M747" s="60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4.5">
      <c r="A748" s="29"/>
      <c r="B748" s="29"/>
      <c r="C748" s="29"/>
      <c r="D748" s="35" t="s">
        <v>58</v>
      </c>
      <c r="E748" s="68" t="s">
        <v>682</v>
      </c>
      <c r="F748" s="60"/>
      <c r="G748" s="42" t="s">
        <v>97</v>
      </c>
      <c r="H748" s="87">
        <v>170000</v>
      </c>
      <c r="I748" s="60"/>
      <c r="J748" s="41">
        <v>340000</v>
      </c>
      <c r="K748" s="29"/>
      <c r="L748" s="83"/>
      <c r="M748" s="60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4.5">
      <c r="A749" s="29"/>
      <c r="B749" s="29"/>
      <c r="C749" s="29"/>
      <c r="D749" s="35" t="s">
        <v>58</v>
      </c>
      <c r="E749" s="68" t="s">
        <v>683</v>
      </c>
      <c r="F749" s="60"/>
      <c r="G749" s="42" t="s">
        <v>60</v>
      </c>
      <c r="H749" s="87">
        <v>170000</v>
      </c>
      <c r="I749" s="60"/>
      <c r="J749" s="41">
        <v>170000</v>
      </c>
      <c r="K749" s="29"/>
      <c r="L749" s="83"/>
      <c r="M749" s="60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4.5">
      <c r="A750" s="29"/>
      <c r="B750" s="29"/>
      <c r="C750" s="29"/>
      <c r="D750" s="35" t="s">
        <v>58</v>
      </c>
      <c r="E750" s="68" t="s">
        <v>684</v>
      </c>
      <c r="F750" s="60"/>
      <c r="G750" s="42" t="s">
        <v>60</v>
      </c>
      <c r="H750" s="87">
        <v>170000</v>
      </c>
      <c r="I750" s="60"/>
      <c r="J750" s="41">
        <v>170000</v>
      </c>
      <c r="K750" s="29"/>
      <c r="L750" s="83"/>
      <c r="M750" s="60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4.5">
      <c r="A751" s="29"/>
      <c r="B751" s="29"/>
      <c r="C751" s="29"/>
      <c r="D751" s="35" t="s">
        <v>58</v>
      </c>
      <c r="E751" s="68" t="s">
        <v>685</v>
      </c>
      <c r="F751" s="60"/>
      <c r="G751" s="42" t="s">
        <v>60</v>
      </c>
      <c r="H751" s="87">
        <v>170000</v>
      </c>
      <c r="I751" s="60"/>
      <c r="J751" s="41">
        <v>170000</v>
      </c>
      <c r="K751" s="29"/>
      <c r="L751" s="83"/>
      <c r="M751" s="60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4.5">
      <c r="A752" s="69" t="s">
        <v>99</v>
      </c>
      <c r="B752" s="60"/>
      <c r="C752" s="60"/>
      <c r="D752" s="69" t="s">
        <v>686</v>
      </c>
      <c r="E752" s="60"/>
      <c r="F752" s="60"/>
      <c r="G752" s="38" t="s">
        <v>50</v>
      </c>
      <c r="H752" s="29"/>
      <c r="I752" s="30"/>
      <c r="J752" s="37">
        <v>3174000</v>
      </c>
      <c r="K752" s="39" t="s">
        <v>51</v>
      </c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4.5">
      <c r="A753" s="67" t="s">
        <v>52</v>
      </c>
      <c r="B753" s="60"/>
      <c r="C753" s="60"/>
      <c r="D753" s="67" t="s">
        <v>53</v>
      </c>
      <c r="E753" s="60"/>
      <c r="F753" s="60"/>
      <c r="G753" s="29"/>
      <c r="H753" s="29"/>
      <c r="I753" s="30"/>
      <c r="J753" s="40">
        <v>3174000</v>
      </c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4.5">
      <c r="A754" s="68" t="s">
        <v>101</v>
      </c>
      <c r="B754" s="60"/>
      <c r="C754" s="60"/>
      <c r="D754" s="72" t="s">
        <v>102</v>
      </c>
      <c r="E754" s="60"/>
      <c r="F754" s="60"/>
      <c r="G754" s="29"/>
      <c r="H754" s="29"/>
      <c r="I754" s="30"/>
      <c r="J754" s="41">
        <v>1280000</v>
      </c>
      <c r="K754" s="29"/>
      <c r="L754" s="82" t="s">
        <v>56</v>
      </c>
      <c r="M754" s="60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4.5">
      <c r="A755" s="29"/>
      <c r="B755" s="29"/>
      <c r="C755" s="29"/>
      <c r="D755" s="68" t="s">
        <v>57</v>
      </c>
      <c r="E755" s="60"/>
      <c r="F755" s="60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4.5">
      <c r="A756" s="29"/>
      <c r="B756" s="29"/>
      <c r="C756" s="29"/>
      <c r="D756" s="35" t="s">
        <v>58</v>
      </c>
      <c r="E756" s="68" t="s">
        <v>687</v>
      </c>
      <c r="F756" s="60"/>
      <c r="G756" s="42" t="s">
        <v>444</v>
      </c>
      <c r="H756" s="87">
        <v>83000</v>
      </c>
      <c r="I756" s="60"/>
      <c r="J756" s="41">
        <v>830000</v>
      </c>
      <c r="K756" s="29"/>
      <c r="L756" s="83"/>
      <c r="M756" s="60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4.5">
      <c r="A757" s="29"/>
      <c r="B757" s="29"/>
      <c r="C757" s="29"/>
      <c r="D757" s="35" t="s">
        <v>58</v>
      </c>
      <c r="E757" s="68" t="s">
        <v>688</v>
      </c>
      <c r="F757" s="60"/>
      <c r="G757" s="42" t="s">
        <v>442</v>
      </c>
      <c r="H757" s="87">
        <v>50000</v>
      </c>
      <c r="I757" s="60"/>
      <c r="J757" s="41">
        <v>450000</v>
      </c>
      <c r="K757" s="29"/>
      <c r="L757" s="83"/>
      <c r="M757" s="60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4.5">
      <c r="A758" s="68" t="s">
        <v>90</v>
      </c>
      <c r="B758" s="60"/>
      <c r="C758" s="60"/>
      <c r="D758" s="72" t="s">
        <v>91</v>
      </c>
      <c r="E758" s="60"/>
      <c r="F758" s="60"/>
      <c r="G758" s="29"/>
      <c r="H758" s="29"/>
      <c r="I758" s="30"/>
      <c r="J758" s="41">
        <v>999000</v>
      </c>
      <c r="K758" s="29"/>
      <c r="L758" s="82" t="s">
        <v>56</v>
      </c>
      <c r="M758" s="60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4.5">
      <c r="A759" s="29"/>
      <c r="B759" s="29"/>
      <c r="C759" s="29"/>
      <c r="D759" s="68" t="s">
        <v>57</v>
      </c>
      <c r="E759" s="60"/>
      <c r="F759" s="60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4.5">
      <c r="A760" s="29"/>
      <c r="B760" s="29"/>
      <c r="C760" s="29"/>
      <c r="D760" s="35" t="s">
        <v>58</v>
      </c>
      <c r="E760" s="68" t="s">
        <v>689</v>
      </c>
      <c r="F760" s="60"/>
      <c r="G760" s="42" t="s">
        <v>106</v>
      </c>
      <c r="H760" s="87">
        <v>111000</v>
      </c>
      <c r="I760" s="60"/>
      <c r="J760" s="41">
        <v>999000</v>
      </c>
      <c r="K760" s="29"/>
      <c r="L760" s="83"/>
      <c r="M760" s="60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4.5">
      <c r="A761" s="68" t="s">
        <v>107</v>
      </c>
      <c r="B761" s="60"/>
      <c r="C761" s="60"/>
      <c r="D761" s="72" t="s">
        <v>108</v>
      </c>
      <c r="E761" s="60"/>
      <c r="F761" s="60"/>
      <c r="G761" s="29"/>
      <c r="H761" s="29"/>
      <c r="I761" s="30"/>
      <c r="J761" s="41">
        <v>545000</v>
      </c>
      <c r="K761" s="29"/>
      <c r="L761" s="82" t="s">
        <v>56</v>
      </c>
      <c r="M761" s="60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4.5">
      <c r="A762" s="29"/>
      <c r="B762" s="29"/>
      <c r="C762" s="29"/>
      <c r="D762" s="68" t="s">
        <v>57</v>
      </c>
      <c r="E762" s="60"/>
      <c r="F762" s="60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4.5">
      <c r="A763" s="29"/>
      <c r="B763" s="29"/>
      <c r="C763" s="29"/>
      <c r="D763" s="35" t="s">
        <v>58</v>
      </c>
      <c r="E763" s="68" t="s">
        <v>690</v>
      </c>
      <c r="F763" s="60"/>
      <c r="G763" s="42" t="s">
        <v>691</v>
      </c>
      <c r="H763" s="87">
        <v>597</v>
      </c>
      <c r="I763" s="60"/>
      <c r="J763" s="41">
        <v>145000</v>
      </c>
      <c r="K763" s="29"/>
      <c r="L763" s="83"/>
      <c r="M763" s="60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4.5">
      <c r="A764" s="29"/>
      <c r="B764" s="29"/>
      <c r="C764" s="29"/>
      <c r="D764" s="35" t="s">
        <v>58</v>
      </c>
      <c r="E764" s="68" t="s">
        <v>392</v>
      </c>
      <c r="F764" s="60"/>
      <c r="G764" s="42" t="s">
        <v>656</v>
      </c>
      <c r="H764" s="87">
        <v>100000</v>
      </c>
      <c r="I764" s="60"/>
      <c r="J764" s="41">
        <v>200000</v>
      </c>
      <c r="K764" s="29"/>
      <c r="L764" s="83"/>
      <c r="M764" s="60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4.5">
      <c r="A765" s="29"/>
      <c r="B765" s="29"/>
      <c r="C765" s="29"/>
      <c r="D765" s="35" t="s">
        <v>58</v>
      </c>
      <c r="E765" s="68" t="s">
        <v>146</v>
      </c>
      <c r="F765" s="60"/>
      <c r="G765" s="42" t="s">
        <v>656</v>
      </c>
      <c r="H765" s="87">
        <v>100000</v>
      </c>
      <c r="I765" s="60"/>
      <c r="J765" s="41">
        <v>200000</v>
      </c>
      <c r="K765" s="29"/>
      <c r="L765" s="83"/>
      <c r="M765" s="60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4.5">
      <c r="A766" s="68" t="s">
        <v>54</v>
      </c>
      <c r="B766" s="60"/>
      <c r="C766" s="60"/>
      <c r="D766" s="72" t="s">
        <v>55</v>
      </c>
      <c r="E766" s="60"/>
      <c r="F766" s="60"/>
      <c r="G766" s="29"/>
      <c r="H766" s="29"/>
      <c r="I766" s="30"/>
      <c r="J766" s="41">
        <v>350000</v>
      </c>
      <c r="K766" s="29"/>
      <c r="L766" s="82" t="s">
        <v>56</v>
      </c>
      <c r="M766" s="60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4.5">
      <c r="A767" s="29"/>
      <c r="B767" s="29"/>
      <c r="C767" s="29"/>
      <c r="D767" s="68" t="s">
        <v>57</v>
      </c>
      <c r="E767" s="60"/>
      <c r="F767" s="60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4.5">
      <c r="A768" s="29"/>
      <c r="B768" s="29"/>
      <c r="C768" s="29"/>
      <c r="D768" s="35" t="s">
        <v>58</v>
      </c>
      <c r="E768" s="68" t="s">
        <v>692</v>
      </c>
      <c r="F768" s="60"/>
      <c r="G768" s="42" t="s">
        <v>137</v>
      </c>
      <c r="H768" s="87">
        <v>50000</v>
      </c>
      <c r="I768" s="60"/>
      <c r="J768" s="41">
        <v>350000</v>
      </c>
      <c r="K768" s="29"/>
      <c r="L768" s="83"/>
      <c r="M768" s="60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4.5">
      <c r="A769" s="69" t="s">
        <v>48</v>
      </c>
      <c r="B769" s="60"/>
      <c r="C769" s="60"/>
      <c r="D769" s="69" t="s">
        <v>693</v>
      </c>
      <c r="E769" s="60"/>
      <c r="F769" s="60"/>
      <c r="G769" s="38" t="s">
        <v>50</v>
      </c>
      <c r="H769" s="29"/>
      <c r="I769" s="30"/>
      <c r="J769" s="37">
        <v>7679000</v>
      </c>
      <c r="K769" s="39" t="s">
        <v>51</v>
      </c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4.5">
      <c r="A770" s="67" t="s">
        <v>52</v>
      </c>
      <c r="B770" s="60"/>
      <c r="C770" s="60"/>
      <c r="D770" s="67" t="s">
        <v>53</v>
      </c>
      <c r="E770" s="60"/>
      <c r="F770" s="60"/>
      <c r="G770" s="29"/>
      <c r="H770" s="29"/>
      <c r="I770" s="30"/>
      <c r="J770" s="40">
        <v>7679000</v>
      </c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4.5">
      <c r="A771" s="68" t="s">
        <v>101</v>
      </c>
      <c r="B771" s="60"/>
      <c r="C771" s="60"/>
      <c r="D771" s="72" t="s">
        <v>102</v>
      </c>
      <c r="E771" s="60"/>
      <c r="F771" s="60"/>
      <c r="G771" s="29"/>
      <c r="H771" s="29"/>
      <c r="I771" s="30"/>
      <c r="J771" s="41">
        <v>2500000</v>
      </c>
      <c r="K771" s="29"/>
      <c r="L771" s="82" t="s">
        <v>56</v>
      </c>
      <c r="M771" s="60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4.5">
      <c r="A772" s="29"/>
      <c r="B772" s="29"/>
      <c r="C772" s="29"/>
      <c r="D772" s="68" t="s">
        <v>57</v>
      </c>
      <c r="E772" s="60"/>
      <c r="F772" s="60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4.5">
      <c r="A773" s="29"/>
      <c r="B773" s="29"/>
      <c r="C773" s="29"/>
      <c r="D773" s="35" t="s">
        <v>58</v>
      </c>
      <c r="E773" s="68" t="s">
        <v>694</v>
      </c>
      <c r="F773" s="60"/>
      <c r="G773" s="42" t="s">
        <v>695</v>
      </c>
      <c r="H773" s="87">
        <v>50000</v>
      </c>
      <c r="I773" s="60"/>
      <c r="J773" s="41">
        <v>450000</v>
      </c>
      <c r="K773" s="29"/>
      <c r="L773" s="83"/>
      <c r="M773" s="60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4.5">
      <c r="A774" s="29"/>
      <c r="B774" s="29"/>
      <c r="C774" s="29"/>
      <c r="D774" s="35" t="s">
        <v>58</v>
      </c>
      <c r="E774" s="68" t="s">
        <v>696</v>
      </c>
      <c r="F774" s="60"/>
      <c r="G774" s="42" t="s">
        <v>697</v>
      </c>
      <c r="H774" s="87">
        <v>50000</v>
      </c>
      <c r="I774" s="60"/>
      <c r="J774" s="41">
        <v>2050000</v>
      </c>
      <c r="K774" s="29"/>
      <c r="L774" s="83"/>
      <c r="M774" s="60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4.5">
      <c r="A775" s="68" t="s">
        <v>223</v>
      </c>
      <c r="B775" s="60"/>
      <c r="C775" s="60"/>
      <c r="D775" s="72" t="s">
        <v>224</v>
      </c>
      <c r="E775" s="60"/>
      <c r="F775" s="60"/>
      <c r="G775" s="29"/>
      <c r="H775" s="29"/>
      <c r="I775" s="30"/>
      <c r="J775" s="41">
        <v>4779000</v>
      </c>
      <c r="K775" s="29"/>
      <c r="L775" s="82" t="s">
        <v>56</v>
      </c>
      <c r="M775" s="60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4.5">
      <c r="A776" s="29"/>
      <c r="B776" s="29"/>
      <c r="C776" s="29"/>
      <c r="D776" s="68" t="s">
        <v>57</v>
      </c>
      <c r="E776" s="60"/>
      <c r="F776" s="60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4.5">
      <c r="A777" s="29"/>
      <c r="B777" s="29"/>
      <c r="C777" s="29"/>
      <c r="D777" s="35" t="s">
        <v>58</v>
      </c>
      <c r="E777" s="68" t="s">
        <v>698</v>
      </c>
      <c r="F777" s="60"/>
      <c r="G777" s="42" t="s">
        <v>699</v>
      </c>
      <c r="H777" s="87">
        <v>59000</v>
      </c>
      <c r="I777" s="60"/>
      <c r="J777" s="41">
        <v>2891000</v>
      </c>
      <c r="K777" s="29"/>
      <c r="L777" s="83"/>
      <c r="M777" s="60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4.5">
      <c r="A778" s="29"/>
      <c r="B778" s="29"/>
      <c r="C778" s="29"/>
      <c r="D778" s="35" t="s">
        <v>58</v>
      </c>
      <c r="E778" s="68" t="s">
        <v>700</v>
      </c>
      <c r="F778" s="60"/>
      <c r="G778" s="42" t="s">
        <v>701</v>
      </c>
      <c r="H778" s="87">
        <v>59000</v>
      </c>
      <c r="I778" s="60"/>
      <c r="J778" s="41">
        <v>1888000</v>
      </c>
      <c r="K778" s="29"/>
      <c r="L778" s="83"/>
      <c r="M778" s="60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4.5">
      <c r="A779" s="68" t="s">
        <v>54</v>
      </c>
      <c r="B779" s="60"/>
      <c r="C779" s="60"/>
      <c r="D779" s="72" t="s">
        <v>55</v>
      </c>
      <c r="E779" s="60"/>
      <c r="F779" s="60"/>
      <c r="G779" s="29"/>
      <c r="H779" s="29"/>
      <c r="I779" s="30"/>
      <c r="J779" s="41">
        <v>400000</v>
      </c>
      <c r="K779" s="29"/>
      <c r="L779" s="82" t="s">
        <v>56</v>
      </c>
      <c r="M779" s="60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4.5">
      <c r="A780" s="29"/>
      <c r="B780" s="29"/>
      <c r="C780" s="29"/>
      <c r="D780" s="68" t="s">
        <v>57</v>
      </c>
      <c r="E780" s="60"/>
      <c r="F780" s="60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4.5">
      <c r="A781" s="29"/>
      <c r="B781" s="29"/>
      <c r="C781" s="29"/>
      <c r="D781" s="35" t="s">
        <v>58</v>
      </c>
      <c r="E781" s="68" t="s">
        <v>408</v>
      </c>
      <c r="F781" s="60"/>
      <c r="G781" s="42" t="s">
        <v>275</v>
      </c>
      <c r="H781" s="87">
        <v>200000</v>
      </c>
      <c r="I781" s="60"/>
      <c r="J781" s="41">
        <v>400000</v>
      </c>
      <c r="K781" s="29"/>
      <c r="L781" s="83"/>
      <c r="M781" s="60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4.5">
      <c r="A782" s="69" t="s">
        <v>702</v>
      </c>
      <c r="B782" s="60"/>
      <c r="C782" s="60"/>
      <c r="D782" s="69" t="s">
        <v>703</v>
      </c>
      <c r="E782" s="60"/>
      <c r="F782" s="60"/>
      <c r="G782" s="36" t="s">
        <v>67</v>
      </c>
      <c r="H782" s="29"/>
      <c r="I782" s="30"/>
      <c r="J782" s="37">
        <v>11163000</v>
      </c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4.5">
      <c r="A783" s="69" t="s">
        <v>88</v>
      </c>
      <c r="B783" s="60"/>
      <c r="C783" s="60"/>
      <c r="D783" s="69" t="s">
        <v>89</v>
      </c>
      <c r="E783" s="60"/>
      <c r="F783" s="60"/>
      <c r="G783" s="38" t="s">
        <v>50</v>
      </c>
      <c r="H783" s="29"/>
      <c r="I783" s="30"/>
      <c r="J783" s="37">
        <v>4165000</v>
      </c>
      <c r="K783" s="39" t="s">
        <v>51</v>
      </c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4.5">
      <c r="A784" s="67" t="s">
        <v>52</v>
      </c>
      <c r="B784" s="60"/>
      <c r="C784" s="60"/>
      <c r="D784" s="67" t="s">
        <v>53</v>
      </c>
      <c r="E784" s="60"/>
      <c r="F784" s="60"/>
      <c r="G784" s="29"/>
      <c r="H784" s="29"/>
      <c r="I784" s="30"/>
      <c r="J784" s="40">
        <v>4165000</v>
      </c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4.5">
      <c r="A785" s="68" t="s">
        <v>90</v>
      </c>
      <c r="B785" s="60"/>
      <c r="C785" s="60"/>
      <c r="D785" s="72" t="s">
        <v>91</v>
      </c>
      <c r="E785" s="60"/>
      <c r="F785" s="60"/>
      <c r="G785" s="29"/>
      <c r="H785" s="29"/>
      <c r="I785" s="30"/>
      <c r="J785" s="41">
        <v>3145000</v>
      </c>
      <c r="K785" s="29"/>
      <c r="L785" s="82" t="s">
        <v>56</v>
      </c>
      <c r="M785" s="60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4.5">
      <c r="A786" s="29"/>
      <c r="B786" s="29"/>
      <c r="C786" s="29"/>
      <c r="D786" s="68" t="s">
        <v>57</v>
      </c>
      <c r="E786" s="60"/>
      <c r="F786" s="60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4.5">
      <c r="A787" s="29"/>
      <c r="B787" s="29"/>
      <c r="C787" s="29"/>
      <c r="D787" s="35" t="s">
        <v>58</v>
      </c>
      <c r="E787" s="68" t="s">
        <v>704</v>
      </c>
      <c r="F787" s="60"/>
      <c r="G787" s="42" t="s">
        <v>705</v>
      </c>
      <c r="H787" s="87">
        <v>44000</v>
      </c>
      <c r="I787" s="60"/>
      <c r="J787" s="41">
        <v>264000</v>
      </c>
      <c r="K787" s="29"/>
      <c r="L787" s="83"/>
      <c r="M787" s="60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4.5">
      <c r="A788" s="29"/>
      <c r="B788" s="29"/>
      <c r="C788" s="29"/>
      <c r="D788" s="35" t="s">
        <v>58</v>
      </c>
      <c r="E788" s="68" t="s">
        <v>706</v>
      </c>
      <c r="F788" s="60"/>
      <c r="G788" s="42" t="s">
        <v>707</v>
      </c>
      <c r="H788" s="87">
        <v>53000</v>
      </c>
      <c r="I788" s="60"/>
      <c r="J788" s="41">
        <v>371000</v>
      </c>
      <c r="K788" s="29"/>
      <c r="L788" s="83"/>
      <c r="M788" s="60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4.5">
      <c r="A789" s="29"/>
      <c r="B789" s="29"/>
      <c r="C789" s="29"/>
      <c r="D789" s="35" t="s">
        <v>58</v>
      </c>
      <c r="E789" s="68" t="s">
        <v>708</v>
      </c>
      <c r="F789" s="60"/>
      <c r="G789" s="42" t="s">
        <v>709</v>
      </c>
      <c r="H789" s="87">
        <v>44000</v>
      </c>
      <c r="I789" s="60"/>
      <c r="J789" s="41">
        <v>660000</v>
      </c>
      <c r="K789" s="29"/>
      <c r="L789" s="83"/>
      <c r="M789" s="60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4.5">
      <c r="A790" s="29"/>
      <c r="B790" s="29"/>
      <c r="C790" s="29"/>
      <c r="D790" s="35" t="s">
        <v>58</v>
      </c>
      <c r="E790" s="68" t="s">
        <v>710</v>
      </c>
      <c r="F790" s="60"/>
      <c r="G790" s="42" t="s">
        <v>711</v>
      </c>
      <c r="H790" s="87">
        <v>232000</v>
      </c>
      <c r="I790" s="60"/>
      <c r="J790" s="41">
        <v>464000</v>
      </c>
      <c r="K790" s="29"/>
      <c r="L790" s="83"/>
      <c r="M790" s="60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4.5">
      <c r="A791" s="29"/>
      <c r="B791" s="29"/>
      <c r="C791" s="29"/>
      <c r="D791" s="35" t="s">
        <v>58</v>
      </c>
      <c r="E791" s="68" t="s">
        <v>712</v>
      </c>
      <c r="F791" s="60"/>
      <c r="G791" s="42" t="s">
        <v>713</v>
      </c>
      <c r="H791" s="87">
        <v>66000</v>
      </c>
      <c r="I791" s="60"/>
      <c r="J791" s="41">
        <v>1386000</v>
      </c>
      <c r="K791" s="29"/>
      <c r="L791" s="83"/>
      <c r="M791" s="60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4.5">
      <c r="A792" s="68" t="s">
        <v>54</v>
      </c>
      <c r="B792" s="60"/>
      <c r="C792" s="60"/>
      <c r="D792" s="72" t="s">
        <v>55</v>
      </c>
      <c r="E792" s="60"/>
      <c r="F792" s="60"/>
      <c r="G792" s="29"/>
      <c r="H792" s="29"/>
      <c r="I792" s="30"/>
      <c r="J792" s="41">
        <v>1020000</v>
      </c>
      <c r="K792" s="29"/>
      <c r="L792" s="82" t="s">
        <v>56</v>
      </c>
      <c r="M792" s="60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4.5">
      <c r="A793" s="29"/>
      <c r="B793" s="29"/>
      <c r="C793" s="29"/>
      <c r="D793" s="68" t="s">
        <v>57</v>
      </c>
      <c r="E793" s="60"/>
      <c r="F793" s="60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4.5">
      <c r="A794" s="29"/>
      <c r="B794" s="29"/>
      <c r="C794" s="29"/>
      <c r="D794" s="35" t="s">
        <v>58</v>
      </c>
      <c r="E794" s="68" t="s">
        <v>714</v>
      </c>
      <c r="F794" s="60"/>
      <c r="G794" s="42" t="s">
        <v>60</v>
      </c>
      <c r="H794" s="87">
        <v>170000</v>
      </c>
      <c r="I794" s="60"/>
      <c r="J794" s="41">
        <v>170000</v>
      </c>
      <c r="K794" s="29"/>
      <c r="L794" s="83"/>
      <c r="M794" s="60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4.5">
      <c r="A795" s="29"/>
      <c r="B795" s="29"/>
      <c r="C795" s="29"/>
      <c r="D795" s="35" t="s">
        <v>58</v>
      </c>
      <c r="E795" s="68" t="s">
        <v>715</v>
      </c>
      <c r="F795" s="60"/>
      <c r="G795" s="42" t="s">
        <v>69</v>
      </c>
      <c r="H795" s="87">
        <v>170000</v>
      </c>
      <c r="I795" s="60"/>
      <c r="J795" s="41">
        <v>510000</v>
      </c>
      <c r="K795" s="29"/>
      <c r="L795" s="83"/>
      <c r="M795" s="60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4.5">
      <c r="A796" s="29"/>
      <c r="B796" s="29"/>
      <c r="C796" s="29"/>
      <c r="D796" s="35" t="s">
        <v>58</v>
      </c>
      <c r="E796" s="68" t="s">
        <v>716</v>
      </c>
      <c r="F796" s="60"/>
      <c r="G796" s="42" t="s">
        <v>60</v>
      </c>
      <c r="H796" s="87">
        <v>170000</v>
      </c>
      <c r="I796" s="60"/>
      <c r="J796" s="41">
        <v>170000</v>
      </c>
      <c r="K796" s="29"/>
      <c r="L796" s="83"/>
      <c r="M796" s="60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4.5">
      <c r="A797" s="29"/>
      <c r="B797" s="29"/>
      <c r="C797" s="29"/>
      <c r="D797" s="35" t="s">
        <v>58</v>
      </c>
      <c r="E797" s="68" t="s">
        <v>717</v>
      </c>
      <c r="F797" s="60"/>
      <c r="G797" s="42" t="s">
        <v>60</v>
      </c>
      <c r="H797" s="87">
        <v>170000</v>
      </c>
      <c r="I797" s="60"/>
      <c r="J797" s="41">
        <v>170000</v>
      </c>
      <c r="K797" s="29"/>
      <c r="L797" s="83"/>
      <c r="M797" s="60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4.5">
      <c r="A798" s="69" t="s">
        <v>99</v>
      </c>
      <c r="B798" s="60"/>
      <c r="C798" s="60"/>
      <c r="D798" s="69" t="s">
        <v>100</v>
      </c>
      <c r="E798" s="60"/>
      <c r="F798" s="60"/>
      <c r="G798" s="38" t="s">
        <v>50</v>
      </c>
      <c r="H798" s="29"/>
      <c r="I798" s="30"/>
      <c r="J798" s="37">
        <v>5648000</v>
      </c>
      <c r="K798" s="39" t="s">
        <v>51</v>
      </c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4.5">
      <c r="A799" s="67" t="s">
        <v>52</v>
      </c>
      <c r="B799" s="60"/>
      <c r="C799" s="60"/>
      <c r="D799" s="67" t="s">
        <v>53</v>
      </c>
      <c r="E799" s="60"/>
      <c r="F799" s="60"/>
      <c r="G799" s="29"/>
      <c r="H799" s="29"/>
      <c r="I799" s="30"/>
      <c r="J799" s="40">
        <v>5648000</v>
      </c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4.5">
      <c r="A800" s="68" t="s">
        <v>101</v>
      </c>
      <c r="B800" s="60"/>
      <c r="C800" s="60"/>
      <c r="D800" s="72" t="s">
        <v>102</v>
      </c>
      <c r="E800" s="60"/>
      <c r="F800" s="60"/>
      <c r="G800" s="29"/>
      <c r="H800" s="29"/>
      <c r="I800" s="30"/>
      <c r="J800" s="41">
        <v>1979000</v>
      </c>
      <c r="K800" s="29"/>
      <c r="L800" s="82" t="s">
        <v>56</v>
      </c>
      <c r="M800" s="60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4.5">
      <c r="A801" s="29"/>
      <c r="B801" s="29"/>
      <c r="C801" s="29"/>
      <c r="D801" s="68" t="s">
        <v>57</v>
      </c>
      <c r="E801" s="60"/>
      <c r="F801" s="60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4.5">
      <c r="A802" s="29"/>
      <c r="B802" s="29"/>
      <c r="C802" s="29"/>
      <c r="D802" s="35" t="s">
        <v>58</v>
      </c>
      <c r="E802" s="68" t="s">
        <v>718</v>
      </c>
      <c r="F802" s="60"/>
      <c r="G802" s="42" t="s">
        <v>402</v>
      </c>
      <c r="H802" s="87">
        <v>50000</v>
      </c>
      <c r="I802" s="60"/>
      <c r="J802" s="41">
        <v>150000</v>
      </c>
      <c r="K802" s="29"/>
      <c r="L802" s="83"/>
      <c r="M802" s="60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4.5">
      <c r="A803" s="29"/>
      <c r="B803" s="29"/>
      <c r="C803" s="29"/>
      <c r="D803" s="35" t="s">
        <v>58</v>
      </c>
      <c r="E803" s="68" t="s">
        <v>719</v>
      </c>
      <c r="F803" s="60"/>
      <c r="G803" s="42" t="s">
        <v>402</v>
      </c>
      <c r="H803" s="87">
        <v>50000</v>
      </c>
      <c r="I803" s="60"/>
      <c r="J803" s="41">
        <v>150000</v>
      </c>
      <c r="K803" s="29"/>
      <c r="L803" s="83"/>
      <c r="M803" s="60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4.5">
      <c r="A804" s="29"/>
      <c r="B804" s="29"/>
      <c r="C804" s="29"/>
      <c r="D804" s="35" t="s">
        <v>58</v>
      </c>
      <c r="E804" s="68" t="s">
        <v>720</v>
      </c>
      <c r="F804" s="60"/>
      <c r="G804" s="42" t="s">
        <v>112</v>
      </c>
      <c r="H804" s="87">
        <v>83000</v>
      </c>
      <c r="I804" s="60"/>
      <c r="J804" s="41">
        <v>498000</v>
      </c>
      <c r="K804" s="29"/>
      <c r="L804" s="83"/>
      <c r="M804" s="60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4.5">
      <c r="A805" s="29"/>
      <c r="B805" s="29"/>
      <c r="C805" s="29"/>
      <c r="D805" s="35" t="s">
        <v>58</v>
      </c>
      <c r="E805" s="68" t="s">
        <v>721</v>
      </c>
      <c r="F805" s="60"/>
      <c r="G805" s="42" t="s">
        <v>137</v>
      </c>
      <c r="H805" s="87">
        <v>83000</v>
      </c>
      <c r="I805" s="60"/>
      <c r="J805" s="41">
        <v>581000</v>
      </c>
      <c r="K805" s="29"/>
      <c r="L805" s="83"/>
      <c r="M805" s="60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4.5">
      <c r="A806" s="29"/>
      <c r="B806" s="29"/>
      <c r="C806" s="29"/>
      <c r="D806" s="35" t="s">
        <v>58</v>
      </c>
      <c r="E806" s="68" t="s">
        <v>722</v>
      </c>
      <c r="F806" s="60"/>
      <c r="G806" s="42" t="s">
        <v>723</v>
      </c>
      <c r="H806" s="87">
        <v>50000</v>
      </c>
      <c r="I806" s="60"/>
      <c r="J806" s="41">
        <v>350000</v>
      </c>
      <c r="K806" s="29"/>
      <c r="L806" s="83"/>
      <c r="M806" s="60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4.5">
      <c r="A807" s="29"/>
      <c r="B807" s="29"/>
      <c r="C807" s="29"/>
      <c r="D807" s="35" t="s">
        <v>58</v>
      </c>
      <c r="E807" s="68" t="s">
        <v>724</v>
      </c>
      <c r="F807" s="60"/>
      <c r="G807" s="42" t="s">
        <v>221</v>
      </c>
      <c r="H807" s="87">
        <v>50000</v>
      </c>
      <c r="I807" s="60"/>
      <c r="J807" s="41">
        <v>250000</v>
      </c>
      <c r="K807" s="29"/>
      <c r="L807" s="83"/>
      <c r="M807" s="60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4.5">
      <c r="A808" s="68" t="s">
        <v>90</v>
      </c>
      <c r="B808" s="60"/>
      <c r="C808" s="60"/>
      <c r="D808" s="72" t="s">
        <v>91</v>
      </c>
      <c r="E808" s="60"/>
      <c r="F808" s="60"/>
      <c r="G808" s="29"/>
      <c r="H808" s="29"/>
      <c r="I808" s="30"/>
      <c r="J808" s="41">
        <v>2775000</v>
      </c>
      <c r="K808" s="29"/>
      <c r="L808" s="82" t="s">
        <v>56</v>
      </c>
      <c r="M808" s="60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4.5">
      <c r="A809" s="29"/>
      <c r="B809" s="29"/>
      <c r="C809" s="29"/>
      <c r="D809" s="68" t="s">
        <v>57</v>
      </c>
      <c r="E809" s="60"/>
      <c r="F809" s="60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4.5">
      <c r="A810" s="29"/>
      <c r="B810" s="29"/>
      <c r="C810" s="29"/>
      <c r="D810" s="35" t="s">
        <v>58</v>
      </c>
      <c r="E810" s="68" t="s">
        <v>725</v>
      </c>
      <c r="F810" s="60"/>
      <c r="G810" s="42" t="s">
        <v>726</v>
      </c>
      <c r="H810" s="87">
        <v>111000</v>
      </c>
      <c r="I810" s="60"/>
      <c r="J810" s="41">
        <v>1776000</v>
      </c>
      <c r="K810" s="29"/>
      <c r="L810" s="83"/>
      <c r="M810" s="60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4.5">
      <c r="A811" s="29"/>
      <c r="B811" s="29"/>
      <c r="C811" s="29"/>
      <c r="D811" s="35" t="s">
        <v>58</v>
      </c>
      <c r="E811" s="68" t="s">
        <v>727</v>
      </c>
      <c r="F811" s="60"/>
      <c r="G811" s="42" t="s">
        <v>106</v>
      </c>
      <c r="H811" s="87">
        <v>111000</v>
      </c>
      <c r="I811" s="60"/>
      <c r="J811" s="41">
        <v>999000</v>
      </c>
      <c r="K811" s="29"/>
      <c r="L811" s="83"/>
      <c r="M811" s="60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4.5">
      <c r="A812" s="68" t="s">
        <v>107</v>
      </c>
      <c r="B812" s="60"/>
      <c r="C812" s="60"/>
      <c r="D812" s="72" t="s">
        <v>108</v>
      </c>
      <c r="E812" s="60"/>
      <c r="F812" s="60"/>
      <c r="G812" s="29"/>
      <c r="H812" s="29"/>
      <c r="I812" s="30"/>
      <c r="J812" s="41">
        <v>594000</v>
      </c>
      <c r="K812" s="29"/>
      <c r="L812" s="82" t="s">
        <v>56</v>
      </c>
      <c r="M812" s="60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4.5">
      <c r="A813" s="29"/>
      <c r="B813" s="29"/>
      <c r="C813" s="29"/>
      <c r="D813" s="68" t="s">
        <v>57</v>
      </c>
      <c r="E813" s="60"/>
      <c r="F813" s="60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4.5">
      <c r="A814" s="29"/>
      <c r="B814" s="29"/>
      <c r="C814" s="29"/>
      <c r="D814" s="35" t="s">
        <v>58</v>
      </c>
      <c r="E814" s="68" t="s">
        <v>728</v>
      </c>
      <c r="F814" s="60"/>
      <c r="G814" s="42" t="s">
        <v>729</v>
      </c>
      <c r="H814" s="87">
        <v>595</v>
      </c>
      <c r="I814" s="60"/>
      <c r="J814" s="41">
        <v>94000</v>
      </c>
      <c r="K814" s="29"/>
      <c r="L814" s="83"/>
      <c r="M814" s="60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4.5">
      <c r="A815" s="29"/>
      <c r="B815" s="29"/>
      <c r="C815" s="29"/>
      <c r="D815" s="35" t="s">
        <v>58</v>
      </c>
      <c r="E815" s="68" t="s">
        <v>392</v>
      </c>
      <c r="F815" s="60"/>
      <c r="G815" s="42" t="s">
        <v>656</v>
      </c>
      <c r="H815" s="87">
        <v>125000</v>
      </c>
      <c r="I815" s="60"/>
      <c r="J815" s="41">
        <v>250000</v>
      </c>
      <c r="K815" s="29"/>
      <c r="L815" s="83"/>
      <c r="M815" s="60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4.5">
      <c r="A816" s="29"/>
      <c r="B816" s="29"/>
      <c r="C816" s="29"/>
      <c r="D816" s="35" t="s">
        <v>58</v>
      </c>
      <c r="E816" s="68" t="s">
        <v>146</v>
      </c>
      <c r="F816" s="60"/>
      <c r="G816" s="42" t="s">
        <v>656</v>
      </c>
      <c r="H816" s="87">
        <v>125000</v>
      </c>
      <c r="I816" s="60"/>
      <c r="J816" s="41">
        <v>250000</v>
      </c>
      <c r="K816" s="29"/>
      <c r="L816" s="83"/>
      <c r="M816" s="60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4.5">
      <c r="A817" s="68" t="s">
        <v>54</v>
      </c>
      <c r="B817" s="60"/>
      <c r="C817" s="60"/>
      <c r="D817" s="72" t="s">
        <v>55</v>
      </c>
      <c r="E817" s="60"/>
      <c r="F817" s="60"/>
      <c r="G817" s="29"/>
      <c r="H817" s="29"/>
      <c r="I817" s="30"/>
      <c r="J817" s="41">
        <v>300000</v>
      </c>
      <c r="K817" s="29"/>
      <c r="L817" s="82" t="s">
        <v>56</v>
      </c>
      <c r="M817" s="60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4.5">
      <c r="A818" s="29"/>
      <c r="B818" s="29"/>
      <c r="C818" s="29"/>
      <c r="D818" s="68" t="s">
        <v>57</v>
      </c>
      <c r="E818" s="60"/>
      <c r="F818" s="60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4.5">
      <c r="A819" s="29"/>
      <c r="B819" s="29"/>
      <c r="C819" s="29"/>
      <c r="D819" s="35" t="s">
        <v>58</v>
      </c>
      <c r="E819" s="68" t="s">
        <v>730</v>
      </c>
      <c r="F819" s="60"/>
      <c r="G819" s="42" t="s">
        <v>69</v>
      </c>
      <c r="H819" s="87">
        <v>50000</v>
      </c>
      <c r="I819" s="60"/>
      <c r="J819" s="41">
        <v>150000</v>
      </c>
      <c r="K819" s="29"/>
      <c r="L819" s="83"/>
      <c r="M819" s="60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4.5">
      <c r="A820" s="29"/>
      <c r="B820" s="29"/>
      <c r="C820" s="29"/>
      <c r="D820" s="35" t="s">
        <v>58</v>
      </c>
      <c r="E820" s="68" t="s">
        <v>731</v>
      </c>
      <c r="F820" s="60"/>
      <c r="G820" s="42" t="s">
        <v>69</v>
      </c>
      <c r="H820" s="87">
        <v>50000</v>
      </c>
      <c r="I820" s="60"/>
      <c r="J820" s="41">
        <v>150000</v>
      </c>
      <c r="K820" s="29"/>
      <c r="L820" s="83"/>
      <c r="M820" s="60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4.5">
      <c r="A821" s="69" t="s">
        <v>48</v>
      </c>
      <c r="B821" s="60"/>
      <c r="C821" s="60"/>
      <c r="D821" s="69" t="s">
        <v>49</v>
      </c>
      <c r="E821" s="60"/>
      <c r="F821" s="60"/>
      <c r="G821" s="38" t="s">
        <v>50</v>
      </c>
      <c r="H821" s="29"/>
      <c r="I821" s="30"/>
      <c r="J821" s="37">
        <v>1350000</v>
      </c>
      <c r="K821" s="39" t="s">
        <v>51</v>
      </c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4.5">
      <c r="A822" s="67" t="s">
        <v>52</v>
      </c>
      <c r="B822" s="60"/>
      <c r="C822" s="60"/>
      <c r="D822" s="67" t="s">
        <v>53</v>
      </c>
      <c r="E822" s="60"/>
      <c r="F822" s="60"/>
      <c r="G822" s="29"/>
      <c r="H822" s="29"/>
      <c r="I822" s="30"/>
      <c r="J822" s="40">
        <v>1350000</v>
      </c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4.5">
      <c r="A823" s="68" t="s">
        <v>101</v>
      </c>
      <c r="B823" s="60"/>
      <c r="C823" s="60"/>
      <c r="D823" s="72" t="s">
        <v>102</v>
      </c>
      <c r="E823" s="60"/>
      <c r="F823" s="60"/>
      <c r="G823" s="29"/>
      <c r="H823" s="29"/>
      <c r="I823" s="30"/>
      <c r="J823" s="41">
        <v>950000</v>
      </c>
      <c r="K823" s="29"/>
      <c r="L823" s="82" t="s">
        <v>56</v>
      </c>
      <c r="M823" s="60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4.5">
      <c r="A824" s="29"/>
      <c r="B824" s="29"/>
      <c r="C824" s="29"/>
      <c r="D824" s="68" t="s">
        <v>57</v>
      </c>
      <c r="E824" s="60"/>
      <c r="F824" s="60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4.5">
      <c r="A825" s="29"/>
      <c r="B825" s="29"/>
      <c r="C825" s="29"/>
      <c r="D825" s="35" t="s">
        <v>58</v>
      </c>
      <c r="E825" s="68" t="s">
        <v>732</v>
      </c>
      <c r="F825" s="60"/>
      <c r="G825" s="42" t="s">
        <v>248</v>
      </c>
      <c r="H825" s="87">
        <v>50000</v>
      </c>
      <c r="I825" s="60"/>
      <c r="J825" s="41">
        <v>600000</v>
      </c>
      <c r="K825" s="29"/>
      <c r="L825" s="83"/>
      <c r="M825" s="60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4.5">
      <c r="A826" s="29"/>
      <c r="B826" s="29"/>
      <c r="C826" s="29"/>
      <c r="D826" s="35" t="s">
        <v>58</v>
      </c>
      <c r="E826" s="68" t="s">
        <v>733</v>
      </c>
      <c r="F826" s="60"/>
      <c r="G826" s="42" t="s">
        <v>156</v>
      </c>
      <c r="H826" s="87">
        <v>50000</v>
      </c>
      <c r="I826" s="60"/>
      <c r="J826" s="41">
        <v>200000</v>
      </c>
      <c r="K826" s="29"/>
      <c r="L826" s="83"/>
      <c r="M826" s="60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4.5">
      <c r="A827" s="29"/>
      <c r="B827" s="29"/>
      <c r="C827" s="29"/>
      <c r="D827" s="35" t="s">
        <v>58</v>
      </c>
      <c r="E827" s="68" t="s">
        <v>734</v>
      </c>
      <c r="F827" s="60"/>
      <c r="G827" s="42" t="s">
        <v>402</v>
      </c>
      <c r="H827" s="87">
        <v>50000</v>
      </c>
      <c r="I827" s="60"/>
      <c r="J827" s="41">
        <v>150000</v>
      </c>
      <c r="K827" s="29"/>
      <c r="L827" s="83"/>
      <c r="M827" s="60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4.5">
      <c r="A828" s="68" t="s">
        <v>54</v>
      </c>
      <c r="B828" s="60"/>
      <c r="C828" s="60"/>
      <c r="D828" s="72" t="s">
        <v>55</v>
      </c>
      <c r="E828" s="60"/>
      <c r="F828" s="60"/>
      <c r="G828" s="29"/>
      <c r="H828" s="29"/>
      <c r="I828" s="30"/>
      <c r="J828" s="41">
        <v>400000</v>
      </c>
      <c r="K828" s="29"/>
      <c r="L828" s="82" t="s">
        <v>56</v>
      </c>
      <c r="M828" s="60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4.5">
      <c r="A829" s="29"/>
      <c r="B829" s="29"/>
      <c r="C829" s="29"/>
      <c r="D829" s="68" t="s">
        <v>57</v>
      </c>
      <c r="E829" s="60"/>
      <c r="F829" s="60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4.5">
      <c r="A830" s="29"/>
      <c r="B830" s="29"/>
      <c r="C830" s="29"/>
      <c r="D830" s="35" t="s">
        <v>58</v>
      </c>
      <c r="E830" s="68" t="s">
        <v>408</v>
      </c>
      <c r="F830" s="60"/>
      <c r="G830" s="42" t="s">
        <v>275</v>
      </c>
      <c r="H830" s="87">
        <v>200000</v>
      </c>
      <c r="I830" s="60"/>
      <c r="J830" s="41">
        <v>400000</v>
      </c>
      <c r="K830" s="29"/>
      <c r="L830" s="83"/>
      <c r="M830" s="60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4.5">
      <c r="A831" s="80" t="s">
        <v>735</v>
      </c>
      <c r="B831" s="76"/>
      <c r="C831" s="74"/>
      <c r="D831" s="80" t="s">
        <v>736</v>
      </c>
      <c r="E831" s="76"/>
      <c r="F831" s="74"/>
      <c r="G831" s="44"/>
      <c r="H831" s="44"/>
      <c r="I831" s="45"/>
      <c r="J831" s="46">
        <v>3170682000</v>
      </c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spans="1:26" ht="14.5">
      <c r="A832" s="81" t="s">
        <v>737</v>
      </c>
      <c r="B832" s="76"/>
      <c r="C832" s="74"/>
      <c r="D832" s="81" t="s">
        <v>738</v>
      </c>
      <c r="E832" s="76"/>
      <c r="F832" s="74"/>
      <c r="G832" s="44"/>
      <c r="H832" s="44"/>
      <c r="I832" s="45"/>
      <c r="J832" s="47">
        <v>3170682000</v>
      </c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spans="1:26" ht="25.5">
      <c r="A833" s="79" t="s">
        <v>739</v>
      </c>
      <c r="B833" s="76"/>
      <c r="C833" s="74"/>
      <c r="D833" s="79" t="s">
        <v>740</v>
      </c>
      <c r="E833" s="76"/>
      <c r="F833" s="74"/>
      <c r="G833" s="48" t="s">
        <v>741</v>
      </c>
      <c r="H833" s="44"/>
      <c r="I833" s="45"/>
      <c r="J833" s="49">
        <v>3155300000</v>
      </c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spans="1:26" ht="14.5">
      <c r="A834" s="44"/>
      <c r="B834" s="44"/>
      <c r="C834" s="44"/>
      <c r="D834" s="73" t="s">
        <v>44</v>
      </c>
      <c r="E834" s="76"/>
      <c r="F834" s="7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spans="1:26" ht="14.5">
      <c r="A835" s="77" t="s">
        <v>742</v>
      </c>
      <c r="B835" s="76"/>
      <c r="C835" s="74"/>
      <c r="D835" s="77" t="s">
        <v>743</v>
      </c>
      <c r="E835" s="76"/>
      <c r="F835" s="74"/>
      <c r="G835" s="50" t="s">
        <v>744</v>
      </c>
      <c r="H835" s="44"/>
      <c r="I835" s="45"/>
      <c r="J835" s="51">
        <v>1481000</v>
      </c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spans="1:26" ht="14.5">
      <c r="A836" s="77" t="s">
        <v>99</v>
      </c>
      <c r="B836" s="76"/>
      <c r="C836" s="74"/>
      <c r="D836" s="77" t="s">
        <v>745</v>
      </c>
      <c r="E836" s="76"/>
      <c r="F836" s="74"/>
      <c r="G836" s="52" t="s">
        <v>50</v>
      </c>
      <c r="H836" s="44"/>
      <c r="I836" s="45"/>
      <c r="J836" s="51">
        <v>1481000</v>
      </c>
      <c r="K836" s="53" t="s">
        <v>51</v>
      </c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spans="1:26" ht="14.5">
      <c r="A837" s="78" t="s">
        <v>52</v>
      </c>
      <c r="B837" s="76"/>
      <c r="C837" s="74"/>
      <c r="D837" s="78" t="s">
        <v>53</v>
      </c>
      <c r="E837" s="76"/>
      <c r="F837" s="74"/>
      <c r="G837" s="44"/>
      <c r="H837" s="44"/>
      <c r="I837" s="45"/>
      <c r="J837" s="54">
        <v>1481000</v>
      </c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spans="1:26" ht="14.5">
      <c r="A838" s="73" t="s">
        <v>596</v>
      </c>
      <c r="B838" s="76"/>
      <c r="C838" s="74"/>
      <c r="D838" s="75" t="s">
        <v>597</v>
      </c>
      <c r="E838" s="76"/>
      <c r="F838" s="74"/>
      <c r="G838" s="44"/>
      <c r="H838" s="44"/>
      <c r="I838" s="45"/>
      <c r="J838" s="55">
        <v>1481000</v>
      </c>
      <c r="K838" s="44"/>
      <c r="L838" s="84" t="s">
        <v>56</v>
      </c>
      <c r="M838" s="7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spans="1:26" ht="14.5">
      <c r="A839" s="44"/>
      <c r="B839" s="44"/>
      <c r="C839" s="44"/>
      <c r="D839" s="73" t="s">
        <v>57</v>
      </c>
      <c r="E839" s="76"/>
      <c r="F839" s="7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spans="1:26" ht="14.5">
      <c r="A840" s="44"/>
      <c r="B840" s="44"/>
      <c r="C840" s="44"/>
      <c r="D840" s="56" t="s">
        <v>58</v>
      </c>
      <c r="E840" s="73" t="s">
        <v>746</v>
      </c>
      <c r="F840" s="74"/>
      <c r="G840" s="57" t="s">
        <v>118</v>
      </c>
      <c r="H840" s="88">
        <v>1481000</v>
      </c>
      <c r="I840" s="74"/>
      <c r="J840" s="55">
        <v>1481000</v>
      </c>
      <c r="K840" s="44"/>
      <c r="L840" s="85"/>
      <c r="M840" s="7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spans="1:26" ht="14.5">
      <c r="A841" s="77" t="s">
        <v>747</v>
      </c>
      <c r="B841" s="76"/>
      <c r="C841" s="74"/>
      <c r="D841" s="77" t="s">
        <v>748</v>
      </c>
      <c r="E841" s="76"/>
      <c r="F841" s="74"/>
      <c r="G841" s="50" t="s">
        <v>744</v>
      </c>
      <c r="H841" s="44"/>
      <c r="I841" s="45"/>
      <c r="J841" s="51">
        <v>2530000</v>
      </c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spans="1:26" ht="14.5">
      <c r="A842" s="77" t="s">
        <v>99</v>
      </c>
      <c r="B842" s="76"/>
      <c r="C842" s="74"/>
      <c r="D842" s="77" t="s">
        <v>745</v>
      </c>
      <c r="E842" s="76"/>
      <c r="F842" s="74"/>
      <c r="G842" s="52" t="s">
        <v>50</v>
      </c>
      <c r="H842" s="44"/>
      <c r="I842" s="45"/>
      <c r="J842" s="51">
        <v>2530000</v>
      </c>
      <c r="K842" s="53" t="s">
        <v>51</v>
      </c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spans="1:26" ht="14.5">
      <c r="A843" s="78" t="s">
        <v>52</v>
      </c>
      <c r="B843" s="76"/>
      <c r="C843" s="74"/>
      <c r="D843" s="78" t="s">
        <v>53</v>
      </c>
      <c r="E843" s="76"/>
      <c r="F843" s="74"/>
      <c r="G843" s="44"/>
      <c r="H843" s="44"/>
      <c r="I843" s="45"/>
      <c r="J843" s="54">
        <v>2530000</v>
      </c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spans="1:26" ht="14.5">
      <c r="A844" s="73" t="s">
        <v>101</v>
      </c>
      <c r="B844" s="76"/>
      <c r="C844" s="74"/>
      <c r="D844" s="75" t="s">
        <v>102</v>
      </c>
      <c r="E844" s="76"/>
      <c r="F844" s="74"/>
      <c r="G844" s="44"/>
      <c r="H844" s="44"/>
      <c r="I844" s="45"/>
      <c r="J844" s="55">
        <v>2530000</v>
      </c>
      <c r="K844" s="44"/>
      <c r="L844" s="84" t="s">
        <v>56</v>
      </c>
      <c r="M844" s="7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spans="1:26" ht="14.5">
      <c r="A845" s="44"/>
      <c r="B845" s="44"/>
      <c r="C845" s="44"/>
      <c r="D845" s="73" t="s">
        <v>57</v>
      </c>
      <c r="E845" s="76"/>
      <c r="F845" s="7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spans="1:26" ht="14.5">
      <c r="A846" s="44"/>
      <c r="B846" s="44"/>
      <c r="C846" s="44"/>
      <c r="D846" s="56" t="s">
        <v>58</v>
      </c>
      <c r="E846" s="73" t="s">
        <v>749</v>
      </c>
      <c r="F846" s="74"/>
      <c r="G846" s="57" t="s">
        <v>750</v>
      </c>
      <c r="H846" s="88">
        <v>46852</v>
      </c>
      <c r="I846" s="74"/>
      <c r="J846" s="55">
        <v>2530000</v>
      </c>
      <c r="K846" s="44"/>
      <c r="L846" s="85"/>
      <c r="M846" s="7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spans="1:26" ht="14.5">
      <c r="A847" s="77" t="s">
        <v>751</v>
      </c>
      <c r="B847" s="76"/>
      <c r="C847" s="74"/>
      <c r="D847" s="77" t="s">
        <v>752</v>
      </c>
      <c r="E847" s="76"/>
      <c r="F847" s="74"/>
      <c r="G847" s="50" t="s">
        <v>753</v>
      </c>
      <c r="H847" s="44"/>
      <c r="I847" s="45"/>
      <c r="J847" s="51">
        <v>3151289000</v>
      </c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spans="1:26" ht="14.5">
      <c r="A848" s="77" t="s">
        <v>754</v>
      </c>
      <c r="B848" s="76"/>
      <c r="C848" s="74"/>
      <c r="D848" s="77" t="s">
        <v>755</v>
      </c>
      <c r="E848" s="76"/>
      <c r="F848" s="74"/>
      <c r="G848" s="52" t="s">
        <v>50</v>
      </c>
      <c r="H848" s="44"/>
      <c r="I848" s="45"/>
      <c r="J848" s="51">
        <v>2823287000</v>
      </c>
      <c r="K848" s="53" t="s">
        <v>51</v>
      </c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spans="1:26" ht="14.5">
      <c r="A849" s="78" t="s">
        <v>52</v>
      </c>
      <c r="B849" s="76"/>
      <c r="C849" s="74"/>
      <c r="D849" s="78" t="s">
        <v>53</v>
      </c>
      <c r="E849" s="76"/>
      <c r="F849" s="74"/>
      <c r="G849" s="44"/>
      <c r="H849" s="44"/>
      <c r="I849" s="45"/>
      <c r="J849" s="54">
        <v>2823287000</v>
      </c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spans="1:26" ht="14.5">
      <c r="A850" s="73" t="s">
        <v>756</v>
      </c>
      <c r="B850" s="76"/>
      <c r="C850" s="74"/>
      <c r="D850" s="75" t="s">
        <v>757</v>
      </c>
      <c r="E850" s="76"/>
      <c r="F850" s="74"/>
      <c r="G850" s="44"/>
      <c r="H850" s="44"/>
      <c r="I850" s="45"/>
      <c r="J850" s="55">
        <v>582753000</v>
      </c>
      <c r="K850" s="44"/>
      <c r="L850" s="84" t="s">
        <v>56</v>
      </c>
      <c r="M850" s="7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spans="1:26" ht="14.5">
      <c r="A851" s="44"/>
      <c r="B851" s="44"/>
      <c r="C851" s="44"/>
      <c r="D851" s="73" t="s">
        <v>57</v>
      </c>
      <c r="E851" s="76"/>
      <c r="F851" s="7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spans="1:26" ht="14.5">
      <c r="A852" s="44"/>
      <c r="B852" s="44"/>
      <c r="C852" s="44"/>
      <c r="D852" s="56" t="s">
        <v>58</v>
      </c>
      <c r="E852" s="73" t="s">
        <v>757</v>
      </c>
      <c r="F852" s="74"/>
      <c r="G852" s="57" t="s">
        <v>758</v>
      </c>
      <c r="H852" s="88">
        <v>447320000</v>
      </c>
      <c r="I852" s="74"/>
      <c r="J852" s="55">
        <v>447320000</v>
      </c>
      <c r="K852" s="44"/>
      <c r="L852" s="85"/>
      <c r="M852" s="7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spans="1:26" ht="14.5">
      <c r="A853" s="44"/>
      <c r="B853" s="44"/>
      <c r="C853" s="44"/>
      <c r="D853" s="56" t="s">
        <v>58</v>
      </c>
      <c r="E853" s="73" t="s">
        <v>759</v>
      </c>
      <c r="F853" s="74"/>
      <c r="G853" s="57" t="s">
        <v>760</v>
      </c>
      <c r="H853" s="88">
        <v>69679000</v>
      </c>
      <c r="I853" s="74"/>
      <c r="J853" s="55">
        <v>69679000</v>
      </c>
      <c r="K853" s="44"/>
      <c r="L853" s="85"/>
      <c r="M853" s="7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spans="1:26" ht="14.5">
      <c r="A854" s="44"/>
      <c r="B854" s="44"/>
      <c r="C854" s="44"/>
      <c r="D854" s="56" t="s">
        <v>58</v>
      </c>
      <c r="E854" s="73" t="s">
        <v>761</v>
      </c>
      <c r="F854" s="74"/>
      <c r="G854" s="57" t="s">
        <v>760</v>
      </c>
      <c r="H854" s="88">
        <v>65754000</v>
      </c>
      <c r="I854" s="74"/>
      <c r="J854" s="55">
        <v>65754000</v>
      </c>
      <c r="K854" s="44"/>
      <c r="L854" s="85"/>
      <c r="M854" s="7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spans="1:26" ht="14.5">
      <c r="A855" s="73" t="s">
        <v>762</v>
      </c>
      <c r="B855" s="76"/>
      <c r="C855" s="74"/>
      <c r="D855" s="75" t="s">
        <v>763</v>
      </c>
      <c r="E855" s="76"/>
      <c r="F855" s="74"/>
      <c r="G855" s="44"/>
      <c r="H855" s="44"/>
      <c r="I855" s="45"/>
      <c r="J855" s="55">
        <v>17000</v>
      </c>
      <c r="K855" s="44"/>
      <c r="L855" s="84" t="s">
        <v>56</v>
      </c>
      <c r="M855" s="7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spans="1:26" ht="14.5">
      <c r="A856" s="44"/>
      <c r="B856" s="44"/>
      <c r="C856" s="44"/>
      <c r="D856" s="73" t="s">
        <v>57</v>
      </c>
      <c r="E856" s="76"/>
      <c r="F856" s="7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spans="1:26" ht="14.5">
      <c r="A857" s="44"/>
      <c r="B857" s="44"/>
      <c r="C857" s="44"/>
      <c r="D857" s="56" t="s">
        <v>58</v>
      </c>
      <c r="E857" s="73" t="s">
        <v>763</v>
      </c>
      <c r="F857" s="74"/>
      <c r="G857" s="57" t="s">
        <v>758</v>
      </c>
      <c r="H857" s="88">
        <v>13000</v>
      </c>
      <c r="I857" s="74"/>
      <c r="J857" s="55">
        <v>13000</v>
      </c>
      <c r="K857" s="44"/>
      <c r="L857" s="85"/>
      <c r="M857" s="7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spans="1:26" ht="14.5">
      <c r="A858" s="44"/>
      <c r="B858" s="44"/>
      <c r="C858" s="44"/>
      <c r="D858" s="56" t="s">
        <v>58</v>
      </c>
      <c r="E858" s="73" t="s">
        <v>764</v>
      </c>
      <c r="F858" s="74"/>
      <c r="G858" s="57" t="s">
        <v>760</v>
      </c>
      <c r="H858" s="88">
        <v>2000</v>
      </c>
      <c r="I858" s="74"/>
      <c r="J858" s="55">
        <v>2000</v>
      </c>
      <c r="K858" s="44"/>
      <c r="L858" s="85"/>
      <c r="M858" s="7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spans="1:26" ht="14.5">
      <c r="A859" s="44"/>
      <c r="B859" s="44"/>
      <c r="C859" s="44"/>
      <c r="D859" s="56" t="s">
        <v>58</v>
      </c>
      <c r="E859" s="73" t="s">
        <v>765</v>
      </c>
      <c r="F859" s="74"/>
      <c r="G859" s="57" t="s">
        <v>760</v>
      </c>
      <c r="H859" s="88">
        <v>2000</v>
      </c>
      <c r="I859" s="74"/>
      <c r="J859" s="55">
        <v>2000</v>
      </c>
      <c r="K859" s="44"/>
      <c r="L859" s="85"/>
      <c r="M859" s="7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spans="1:26" ht="14.5">
      <c r="A860" s="73" t="s">
        <v>766</v>
      </c>
      <c r="B860" s="76"/>
      <c r="C860" s="74"/>
      <c r="D860" s="75" t="s">
        <v>767</v>
      </c>
      <c r="E860" s="76"/>
      <c r="F860" s="74"/>
      <c r="G860" s="44"/>
      <c r="H860" s="44"/>
      <c r="I860" s="45"/>
      <c r="J860" s="55">
        <v>68469000</v>
      </c>
      <c r="K860" s="44"/>
      <c r="L860" s="84" t="s">
        <v>56</v>
      </c>
      <c r="M860" s="7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spans="1:26" ht="14.5">
      <c r="A861" s="44"/>
      <c r="B861" s="44"/>
      <c r="C861" s="44"/>
      <c r="D861" s="73" t="s">
        <v>57</v>
      </c>
      <c r="E861" s="76"/>
      <c r="F861" s="7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spans="1:26" ht="14.5">
      <c r="A862" s="44"/>
      <c r="B862" s="44"/>
      <c r="C862" s="44"/>
      <c r="D862" s="56" t="s">
        <v>58</v>
      </c>
      <c r="E862" s="73" t="s">
        <v>768</v>
      </c>
      <c r="F862" s="74"/>
      <c r="G862" s="57" t="s">
        <v>758</v>
      </c>
      <c r="H862" s="88">
        <v>58750000</v>
      </c>
      <c r="I862" s="74"/>
      <c r="J862" s="55">
        <v>58750000</v>
      </c>
      <c r="K862" s="44"/>
      <c r="L862" s="85"/>
      <c r="M862" s="7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spans="1:26" ht="14.5">
      <c r="A863" s="44"/>
      <c r="B863" s="44"/>
      <c r="C863" s="44"/>
      <c r="D863" s="56" t="s">
        <v>58</v>
      </c>
      <c r="E863" s="73" t="s">
        <v>769</v>
      </c>
      <c r="F863" s="74"/>
      <c r="G863" s="57" t="s">
        <v>760</v>
      </c>
      <c r="H863" s="88">
        <v>5050000</v>
      </c>
      <c r="I863" s="74"/>
      <c r="J863" s="55">
        <v>5050000</v>
      </c>
      <c r="K863" s="44"/>
      <c r="L863" s="85"/>
      <c r="M863" s="7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spans="1:26" ht="14.5">
      <c r="A864" s="44"/>
      <c r="B864" s="44"/>
      <c r="C864" s="44"/>
      <c r="D864" s="56" t="s">
        <v>58</v>
      </c>
      <c r="E864" s="73" t="s">
        <v>770</v>
      </c>
      <c r="F864" s="74"/>
      <c r="G864" s="57" t="s">
        <v>760</v>
      </c>
      <c r="H864" s="88">
        <v>4669000</v>
      </c>
      <c r="I864" s="74"/>
      <c r="J864" s="55">
        <v>4669000</v>
      </c>
      <c r="K864" s="44"/>
      <c r="L864" s="85"/>
      <c r="M864" s="7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spans="1:26" ht="14.5">
      <c r="A865" s="73" t="s">
        <v>771</v>
      </c>
      <c r="B865" s="76"/>
      <c r="C865" s="74"/>
      <c r="D865" s="75" t="s">
        <v>772</v>
      </c>
      <c r="E865" s="76"/>
      <c r="F865" s="74"/>
      <c r="G865" s="44"/>
      <c r="H865" s="44"/>
      <c r="I865" s="45"/>
      <c r="J865" s="55">
        <v>19963000</v>
      </c>
      <c r="K865" s="44"/>
      <c r="L865" s="84" t="s">
        <v>56</v>
      </c>
      <c r="M865" s="7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spans="1:26" ht="14.5">
      <c r="A866" s="44"/>
      <c r="B866" s="44"/>
      <c r="C866" s="44"/>
      <c r="D866" s="73" t="s">
        <v>57</v>
      </c>
      <c r="E866" s="76"/>
      <c r="F866" s="7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spans="1:26" ht="14.5">
      <c r="A867" s="44"/>
      <c r="B867" s="44"/>
      <c r="C867" s="44"/>
      <c r="D867" s="56" t="s">
        <v>58</v>
      </c>
      <c r="E867" s="73" t="s">
        <v>773</v>
      </c>
      <c r="F867" s="74"/>
      <c r="G867" s="57" t="s">
        <v>758</v>
      </c>
      <c r="H867" s="88">
        <v>17100000</v>
      </c>
      <c r="I867" s="74"/>
      <c r="J867" s="55">
        <v>17100000</v>
      </c>
      <c r="K867" s="44"/>
      <c r="L867" s="85"/>
      <c r="M867" s="7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spans="1:26" ht="14.5">
      <c r="A868" s="44"/>
      <c r="B868" s="44"/>
      <c r="C868" s="44"/>
      <c r="D868" s="56" t="s">
        <v>58</v>
      </c>
      <c r="E868" s="73" t="s">
        <v>774</v>
      </c>
      <c r="F868" s="74"/>
      <c r="G868" s="57" t="s">
        <v>760</v>
      </c>
      <c r="H868" s="88">
        <v>1536000</v>
      </c>
      <c r="I868" s="74"/>
      <c r="J868" s="55">
        <v>1536000</v>
      </c>
      <c r="K868" s="44"/>
      <c r="L868" s="85"/>
      <c r="M868" s="7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spans="1:26" ht="14.5">
      <c r="A869" s="44"/>
      <c r="B869" s="44"/>
      <c r="C869" s="44"/>
      <c r="D869" s="56" t="s">
        <v>58</v>
      </c>
      <c r="E869" s="73" t="s">
        <v>775</v>
      </c>
      <c r="F869" s="74"/>
      <c r="G869" s="57" t="s">
        <v>760</v>
      </c>
      <c r="H869" s="88">
        <v>1327000</v>
      </c>
      <c r="I869" s="74"/>
      <c r="J869" s="55">
        <v>1327000</v>
      </c>
      <c r="K869" s="44"/>
      <c r="L869" s="85"/>
      <c r="M869" s="7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spans="1:26" ht="14.5">
      <c r="A870" s="73" t="s">
        <v>776</v>
      </c>
      <c r="B870" s="76"/>
      <c r="C870" s="74"/>
      <c r="D870" s="75" t="s">
        <v>777</v>
      </c>
      <c r="E870" s="76"/>
      <c r="F870" s="74"/>
      <c r="G870" s="44"/>
      <c r="H870" s="44"/>
      <c r="I870" s="45"/>
      <c r="J870" s="55">
        <v>25086000</v>
      </c>
      <c r="K870" s="44"/>
      <c r="L870" s="84" t="s">
        <v>56</v>
      </c>
      <c r="M870" s="7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spans="1:26" ht="14.5">
      <c r="A871" s="44"/>
      <c r="B871" s="44"/>
      <c r="C871" s="44"/>
      <c r="D871" s="73" t="s">
        <v>57</v>
      </c>
      <c r="E871" s="76"/>
      <c r="F871" s="7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spans="1:26" ht="14.5">
      <c r="A872" s="44"/>
      <c r="B872" s="44"/>
      <c r="C872" s="44"/>
      <c r="D872" s="56" t="s">
        <v>58</v>
      </c>
      <c r="E872" s="73" t="s">
        <v>778</v>
      </c>
      <c r="F872" s="74"/>
      <c r="G872" s="57" t="s">
        <v>758</v>
      </c>
      <c r="H872" s="88">
        <v>21600000</v>
      </c>
      <c r="I872" s="74"/>
      <c r="J872" s="55">
        <v>21600000</v>
      </c>
      <c r="K872" s="44"/>
      <c r="L872" s="85"/>
      <c r="M872" s="7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spans="1:26" ht="14.5">
      <c r="A873" s="44"/>
      <c r="B873" s="44"/>
      <c r="C873" s="44"/>
      <c r="D873" s="56" t="s">
        <v>58</v>
      </c>
      <c r="E873" s="73" t="s">
        <v>779</v>
      </c>
      <c r="F873" s="74"/>
      <c r="G873" s="57" t="s">
        <v>760</v>
      </c>
      <c r="H873" s="88">
        <v>2340000</v>
      </c>
      <c r="I873" s="74"/>
      <c r="J873" s="55">
        <v>2340000</v>
      </c>
      <c r="K873" s="44"/>
      <c r="L873" s="85"/>
      <c r="M873" s="7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spans="1:26" ht="14.5">
      <c r="A874" s="44"/>
      <c r="B874" s="44"/>
      <c r="C874" s="44"/>
      <c r="D874" s="56" t="s">
        <v>58</v>
      </c>
      <c r="E874" s="73" t="s">
        <v>780</v>
      </c>
      <c r="F874" s="74"/>
      <c r="G874" s="57" t="s">
        <v>760</v>
      </c>
      <c r="H874" s="88">
        <v>1146000</v>
      </c>
      <c r="I874" s="74"/>
      <c r="J874" s="55">
        <v>1146000</v>
      </c>
      <c r="K874" s="44"/>
      <c r="L874" s="85"/>
      <c r="M874" s="7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spans="1:26" ht="14.5">
      <c r="A875" s="73" t="s">
        <v>781</v>
      </c>
      <c r="B875" s="76"/>
      <c r="C875" s="74"/>
      <c r="D875" s="75" t="s">
        <v>782</v>
      </c>
      <c r="E875" s="76"/>
      <c r="F875" s="74"/>
      <c r="G875" s="44"/>
      <c r="H875" s="44"/>
      <c r="I875" s="45"/>
      <c r="J875" s="55">
        <v>150870000</v>
      </c>
      <c r="K875" s="44"/>
      <c r="L875" s="84" t="s">
        <v>56</v>
      </c>
      <c r="M875" s="7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spans="1:26" ht="14.5">
      <c r="A876" s="44"/>
      <c r="B876" s="44"/>
      <c r="C876" s="44"/>
      <c r="D876" s="73" t="s">
        <v>57</v>
      </c>
      <c r="E876" s="76"/>
      <c r="F876" s="7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spans="1:26" ht="14.5">
      <c r="A877" s="44"/>
      <c r="B877" s="44"/>
      <c r="C877" s="44"/>
      <c r="D877" s="56" t="s">
        <v>58</v>
      </c>
      <c r="E877" s="73" t="s">
        <v>783</v>
      </c>
      <c r="F877" s="74"/>
      <c r="G877" s="57" t="s">
        <v>758</v>
      </c>
      <c r="H877" s="88">
        <v>129300000</v>
      </c>
      <c r="I877" s="74"/>
      <c r="J877" s="55">
        <v>129300000</v>
      </c>
      <c r="K877" s="44"/>
      <c r="L877" s="85"/>
      <c r="M877" s="7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spans="1:26" ht="14.5">
      <c r="A878" s="44"/>
      <c r="B878" s="44"/>
      <c r="C878" s="44"/>
      <c r="D878" s="56" t="s">
        <v>58</v>
      </c>
      <c r="E878" s="73" t="s">
        <v>784</v>
      </c>
      <c r="F878" s="74"/>
      <c r="G878" s="57" t="s">
        <v>760</v>
      </c>
      <c r="H878" s="88">
        <v>11220000</v>
      </c>
      <c r="I878" s="74"/>
      <c r="J878" s="55">
        <v>11220000</v>
      </c>
      <c r="K878" s="44"/>
      <c r="L878" s="85"/>
      <c r="M878" s="7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spans="1:26" ht="14.5">
      <c r="A879" s="44"/>
      <c r="B879" s="44"/>
      <c r="C879" s="44"/>
      <c r="D879" s="56" t="s">
        <v>58</v>
      </c>
      <c r="E879" s="73" t="s">
        <v>785</v>
      </c>
      <c r="F879" s="74"/>
      <c r="G879" s="57" t="s">
        <v>760</v>
      </c>
      <c r="H879" s="88">
        <v>10350000</v>
      </c>
      <c r="I879" s="74"/>
      <c r="J879" s="55">
        <v>10350000</v>
      </c>
      <c r="K879" s="44"/>
      <c r="L879" s="85"/>
      <c r="M879" s="7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spans="1:26" ht="14.5">
      <c r="A880" s="73" t="s">
        <v>786</v>
      </c>
      <c r="B880" s="76"/>
      <c r="C880" s="74"/>
      <c r="D880" s="75" t="s">
        <v>787</v>
      </c>
      <c r="E880" s="76"/>
      <c r="F880" s="74"/>
      <c r="G880" s="44"/>
      <c r="H880" s="44"/>
      <c r="I880" s="45"/>
      <c r="J880" s="55">
        <v>100043000</v>
      </c>
      <c r="K880" s="44"/>
      <c r="L880" s="84" t="s">
        <v>56</v>
      </c>
      <c r="M880" s="7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spans="1:26" ht="14.5">
      <c r="A881" s="44"/>
      <c r="B881" s="44"/>
      <c r="C881" s="44"/>
      <c r="D881" s="73" t="s">
        <v>57</v>
      </c>
      <c r="E881" s="76"/>
      <c r="F881" s="7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spans="1:26" ht="14.5">
      <c r="A882" s="44"/>
      <c r="B882" s="44"/>
      <c r="C882" s="44"/>
      <c r="D882" s="56" t="s">
        <v>58</v>
      </c>
      <c r="E882" s="73" t="s">
        <v>788</v>
      </c>
      <c r="F882" s="74"/>
      <c r="G882" s="57" t="s">
        <v>758</v>
      </c>
      <c r="H882" s="88">
        <v>1400000</v>
      </c>
      <c r="I882" s="74"/>
      <c r="J882" s="55">
        <v>1400000</v>
      </c>
      <c r="K882" s="44"/>
      <c r="L882" s="85"/>
      <c r="M882" s="7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spans="1:26" ht="14.5">
      <c r="A883" s="44"/>
      <c r="B883" s="44"/>
      <c r="C883" s="44"/>
      <c r="D883" s="56" t="s">
        <v>58</v>
      </c>
      <c r="E883" s="73" t="s">
        <v>789</v>
      </c>
      <c r="F883" s="74"/>
      <c r="G883" s="57" t="s">
        <v>760</v>
      </c>
      <c r="H883" s="88">
        <v>4360000</v>
      </c>
      <c r="I883" s="74"/>
      <c r="J883" s="55">
        <v>4360000</v>
      </c>
      <c r="K883" s="44"/>
      <c r="L883" s="85"/>
      <c r="M883" s="7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spans="1:26" ht="14.5">
      <c r="A884" s="44"/>
      <c r="B884" s="44"/>
      <c r="C884" s="44"/>
      <c r="D884" s="56" t="s">
        <v>58</v>
      </c>
      <c r="E884" s="73" t="s">
        <v>790</v>
      </c>
      <c r="F884" s="74"/>
      <c r="G884" s="57" t="s">
        <v>760</v>
      </c>
      <c r="H884" s="88">
        <v>3983000</v>
      </c>
      <c r="I884" s="74"/>
      <c r="J884" s="55">
        <v>3983000</v>
      </c>
      <c r="K884" s="44"/>
      <c r="L884" s="85"/>
      <c r="M884" s="7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spans="1:26" ht="14.5">
      <c r="A885" s="44"/>
      <c r="B885" s="44"/>
      <c r="C885" s="44"/>
      <c r="D885" s="56" t="s">
        <v>58</v>
      </c>
      <c r="E885" s="73" t="s">
        <v>791</v>
      </c>
      <c r="F885" s="74"/>
      <c r="G885" s="57" t="s">
        <v>760</v>
      </c>
      <c r="H885" s="88">
        <v>90300000</v>
      </c>
      <c r="I885" s="74"/>
      <c r="J885" s="55">
        <v>90300000</v>
      </c>
      <c r="K885" s="44"/>
      <c r="L885" s="85"/>
      <c r="M885" s="7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spans="1:26" ht="14.5">
      <c r="A886" s="73" t="s">
        <v>792</v>
      </c>
      <c r="B886" s="76"/>
      <c r="C886" s="74"/>
      <c r="D886" s="75" t="s">
        <v>793</v>
      </c>
      <c r="E886" s="76"/>
      <c r="F886" s="74"/>
      <c r="G886" s="44"/>
      <c r="H886" s="44"/>
      <c r="I886" s="45"/>
      <c r="J886" s="55">
        <v>50200000</v>
      </c>
      <c r="K886" s="44"/>
      <c r="L886" s="84" t="s">
        <v>56</v>
      </c>
      <c r="M886" s="7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spans="1:26" ht="14.5">
      <c r="A887" s="44"/>
      <c r="B887" s="44"/>
      <c r="C887" s="44"/>
      <c r="D887" s="73" t="s">
        <v>57</v>
      </c>
      <c r="E887" s="76"/>
      <c r="F887" s="7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spans="1:26" ht="14.5">
      <c r="A888" s="44"/>
      <c r="B888" s="44"/>
      <c r="C888" s="44"/>
      <c r="D888" s="56" t="s">
        <v>58</v>
      </c>
      <c r="E888" s="73" t="s">
        <v>794</v>
      </c>
      <c r="F888" s="74"/>
      <c r="G888" s="57" t="s">
        <v>758</v>
      </c>
      <c r="H888" s="88">
        <v>50200000</v>
      </c>
      <c r="I888" s="74"/>
      <c r="J888" s="55">
        <v>50200000</v>
      </c>
      <c r="K888" s="44"/>
      <c r="L888" s="85"/>
      <c r="M888" s="7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spans="1:26" ht="14.5">
      <c r="A889" s="73" t="s">
        <v>795</v>
      </c>
      <c r="B889" s="76"/>
      <c r="C889" s="74"/>
      <c r="D889" s="75" t="s">
        <v>796</v>
      </c>
      <c r="E889" s="76"/>
      <c r="F889" s="74"/>
      <c r="G889" s="44"/>
      <c r="H889" s="44"/>
      <c r="I889" s="45"/>
      <c r="J889" s="55">
        <v>154987000</v>
      </c>
      <c r="K889" s="44"/>
      <c r="L889" s="84" t="s">
        <v>56</v>
      </c>
      <c r="M889" s="7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spans="1:26" ht="14.5">
      <c r="A890" s="44"/>
      <c r="B890" s="44"/>
      <c r="C890" s="44"/>
      <c r="D890" s="73" t="s">
        <v>57</v>
      </c>
      <c r="E890" s="76"/>
      <c r="F890" s="7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spans="1:26" ht="14.5">
      <c r="A891" s="44"/>
      <c r="B891" s="44"/>
      <c r="C891" s="44"/>
      <c r="D891" s="56" t="s">
        <v>58</v>
      </c>
      <c r="E891" s="73" t="s">
        <v>797</v>
      </c>
      <c r="F891" s="74"/>
      <c r="G891" s="57" t="s">
        <v>758</v>
      </c>
      <c r="H891" s="88">
        <v>154987000</v>
      </c>
      <c r="I891" s="74"/>
      <c r="J891" s="55">
        <v>154987000</v>
      </c>
      <c r="K891" s="44"/>
      <c r="L891" s="85"/>
      <c r="M891" s="7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spans="1:26" ht="14.5">
      <c r="A892" s="73" t="s">
        <v>798</v>
      </c>
      <c r="B892" s="76"/>
      <c r="C892" s="74"/>
      <c r="D892" s="75" t="s">
        <v>799</v>
      </c>
      <c r="E892" s="76"/>
      <c r="F892" s="74"/>
      <c r="G892" s="44"/>
      <c r="H892" s="44"/>
      <c r="I892" s="45"/>
      <c r="J892" s="55">
        <v>4620000</v>
      </c>
      <c r="K892" s="44"/>
      <c r="L892" s="84" t="s">
        <v>56</v>
      </c>
      <c r="M892" s="7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spans="1:26" ht="14.5">
      <c r="A893" s="44"/>
      <c r="B893" s="44"/>
      <c r="C893" s="44"/>
      <c r="D893" s="73" t="s">
        <v>57</v>
      </c>
      <c r="E893" s="76"/>
      <c r="F893" s="7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spans="1:26" ht="14.5">
      <c r="A894" s="44"/>
      <c r="B894" s="44"/>
      <c r="C894" s="44"/>
      <c r="D894" s="56" t="s">
        <v>58</v>
      </c>
      <c r="E894" s="73" t="s">
        <v>800</v>
      </c>
      <c r="F894" s="74"/>
      <c r="G894" s="57" t="s">
        <v>758</v>
      </c>
      <c r="H894" s="88">
        <v>3700000</v>
      </c>
      <c r="I894" s="74"/>
      <c r="J894" s="55">
        <v>3700000</v>
      </c>
      <c r="K894" s="44"/>
      <c r="L894" s="85"/>
      <c r="M894" s="7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spans="1:26" ht="14.5">
      <c r="A895" s="44"/>
      <c r="B895" s="44"/>
      <c r="C895" s="44"/>
      <c r="D895" s="56" t="s">
        <v>58</v>
      </c>
      <c r="E895" s="73" t="s">
        <v>801</v>
      </c>
      <c r="F895" s="74"/>
      <c r="G895" s="57" t="s">
        <v>760</v>
      </c>
      <c r="H895" s="88">
        <v>370000</v>
      </c>
      <c r="I895" s="74"/>
      <c r="J895" s="55">
        <v>370000</v>
      </c>
      <c r="K895" s="44"/>
      <c r="L895" s="85"/>
      <c r="M895" s="7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spans="1:26" ht="14.5">
      <c r="A896" s="44"/>
      <c r="B896" s="44"/>
      <c r="C896" s="44"/>
      <c r="D896" s="56" t="s">
        <v>58</v>
      </c>
      <c r="E896" s="73" t="s">
        <v>802</v>
      </c>
      <c r="F896" s="74"/>
      <c r="G896" s="57" t="s">
        <v>760</v>
      </c>
      <c r="H896" s="88">
        <v>550000</v>
      </c>
      <c r="I896" s="74"/>
      <c r="J896" s="55">
        <v>550000</v>
      </c>
      <c r="K896" s="44"/>
      <c r="L896" s="85"/>
      <c r="M896" s="7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spans="1:26" ht="14.5">
      <c r="A897" s="73" t="s">
        <v>803</v>
      </c>
      <c r="B897" s="76"/>
      <c r="C897" s="74"/>
      <c r="D897" s="75" t="s">
        <v>804</v>
      </c>
      <c r="E897" s="76"/>
      <c r="F897" s="74"/>
      <c r="G897" s="44"/>
      <c r="H897" s="44"/>
      <c r="I897" s="45"/>
      <c r="J897" s="55">
        <v>195230000</v>
      </c>
      <c r="K897" s="44"/>
      <c r="L897" s="84" t="s">
        <v>56</v>
      </c>
      <c r="M897" s="7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spans="1:26" ht="14.5">
      <c r="A898" s="44"/>
      <c r="B898" s="44"/>
      <c r="C898" s="44"/>
      <c r="D898" s="73" t="s">
        <v>57</v>
      </c>
      <c r="E898" s="76"/>
      <c r="F898" s="7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spans="1:26" ht="14.5">
      <c r="A899" s="44"/>
      <c r="B899" s="44"/>
      <c r="C899" s="44"/>
      <c r="D899" s="56" t="s">
        <v>58</v>
      </c>
      <c r="E899" s="73" t="s">
        <v>804</v>
      </c>
      <c r="F899" s="74"/>
      <c r="G899" s="57" t="s">
        <v>758</v>
      </c>
      <c r="H899" s="88">
        <v>167340000</v>
      </c>
      <c r="I899" s="74"/>
      <c r="J899" s="55">
        <v>167340000</v>
      </c>
      <c r="K899" s="44"/>
      <c r="L899" s="85"/>
      <c r="M899" s="7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spans="1:26" ht="14.5">
      <c r="A900" s="44"/>
      <c r="B900" s="44"/>
      <c r="C900" s="44"/>
      <c r="D900" s="56" t="s">
        <v>58</v>
      </c>
      <c r="E900" s="73" t="s">
        <v>805</v>
      </c>
      <c r="F900" s="74"/>
      <c r="G900" s="57" t="s">
        <v>758</v>
      </c>
      <c r="H900" s="88">
        <v>13945000</v>
      </c>
      <c r="I900" s="74"/>
      <c r="J900" s="55">
        <v>13945000</v>
      </c>
      <c r="K900" s="44"/>
      <c r="L900" s="85"/>
      <c r="M900" s="7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spans="1:26" ht="14.5">
      <c r="A901" s="44"/>
      <c r="B901" s="44"/>
      <c r="C901" s="44"/>
      <c r="D901" s="56" t="s">
        <v>58</v>
      </c>
      <c r="E901" s="73" t="s">
        <v>806</v>
      </c>
      <c r="F901" s="74"/>
      <c r="G901" s="57" t="s">
        <v>758</v>
      </c>
      <c r="H901" s="88">
        <v>13945000</v>
      </c>
      <c r="I901" s="74"/>
      <c r="J901" s="55">
        <v>13945000</v>
      </c>
      <c r="K901" s="44"/>
      <c r="L901" s="85"/>
      <c r="M901" s="7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spans="1:26" ht="14.5">
      <c r="A902" s="73" t="s">
        <v>807</v>
      </c>
      <c r="B902" s="76"/>
      <c r="C902" s="74"/>
      <c r="D902" s="75" t="s">
        <v>808</v>
      </c>
      <c r="E902" s="76"/>
      <c r="F902" s="74"/>
      <c r="G902" s="44"/>
      <c r="H902" s="44"/>
      <c r="I902" s="45"/>
      <c r="J902" s="55">
        <v>14000</v>
      </c>
      <c r="K902" s="44"/>
      <c r="L902" s="84" t="s">
        <v>56</v>
      </c>
      <c r="M902" s="7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spans="1:26" ht="14.5">
      <c r="A903" s="44"/>
      <c r="B903" s="44"/>
      <c r="C903" s="44"/>
      <c r="D903" s="73" t="s">
        <v>57</v>
      </c>
      <c r="E903" s="76"/>
      <c r="F903" s="7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spans="1:26" ht="14.5">
      <c r="A904" s="44"/>
      <c r="B904" s="44"/>
      <c r="C904" s="44"/>
      <c r="D904" s="56" t="s">
        <v>58</v>
      </c>
      <c r="E904" s="73" t="s">
        <v>808</v>
      </c>
      <c r="F904" s="74"/>
      <c r="G904" s="57" t="s">
        <v>758</v>
      </c>
      <c r="H904" s="88">
        <v>12000</v>
      </c>
      <c r="I904" s="74"/>
      <c r="J904" s="55">
        <v>12000</v>
      </c>
      <c r="K904" s="44"/>
      <c r="L904" s="85"/>
      <c r="M904" s="7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spans="1:26" ht="14.5">
      <c r="A905" s="44"/>
      <c r="B905" s="44"/>
      <c r="C905" s="44"/>
      <c r="D905" s="56" t="s">
        <v>58</v>
      </c>
      <c r="E905" s="73" t="s">
        <v>809</v>
      </c>
      <c r="F905" s="74"/>
      <c r="G905" s="57" t="s">
        <v>758</v>
      </c>
      <c r="H905" s="88">
        <v>1000</v>
      </c>
      <c r="I905" s="74"/>
      <c r="J905" s="55">
        <v>1000</v>
      </c>
      <c r="K905" s="44"/>
      <c r="L905" s="85"/>
      <c r="M905" s="7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spans="1:26" ht="14.5">
      <c r="A906" s="44"/>
      <c r="B906" s="44"/>
      <c r="C906" s="44"/>
      <c r="D906" s="56" t="s">
        <v>58</v>
      </c>
      <c r="E906" s="73" t="s">
        <v>810</v>
      </c>
      <c r="F906" s="74"/>
      <c r="G906" s="57" t="s">
        <v>758</v>
      </c>
      <c r="H906" s="88">
        <v>1000</v>
      </c>
      <c r="I906" s="74"/>
      <c r="J906" s="55">
        <v>1000</v>
      </c>
      <c r="K906" s="44"/>
      <c r="L906" s="85"/>
      <c r="M906" s="7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spans="1:26" ht="14.5">
      <c r="A907" s="73" t="s">
        <v>811</v>
      </c>
      <c r="B907" s="76"/>
      <c r="C907" s="74"/>
      <c r="D907" s="75" t="s">
        <v>812</v>
      </c>
      <c r="E907" s="76"/>
      <c r="F907" s="74"/>
      <c r="G907" s="44"/>
      <c r="H907" s="44"/>
      <c r="I907" s="45"/>
      <c r="J907" s="55">
        <v>12502000</v>
      </c>
      <c r="K907" s="44"/>
      <c r="L907" s="84" t="s">
        <v>56</v>
      </c>
      <c r="M907" s="7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spans="1:26" ht="14.5">
      <c r="A908" s="44"/>
      <c r="B908" s="44"/>
      <c r="C908" s="44"/>
      <c r="D908" s="73" t="s">
        <v>57</v>
      </c>
      <c r="E908" s="76"/>
      <c r="F908" s="7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spans="1:26" ht="14.5">
      <c r="A909" s="44"/>
      <c r="B909" s="44"/>
      <c r="C909" s="44"/>
      <c r="D909" s="56" t="s">
        <v>58</v>
      </c>
      <c r="E909" s="73" t="s">
        <v>812</v>
      </c>
      <c r="F909" s="74"/>
      <c r="G909" s="57" t="s">
        <v>758</v>
      </c>
      <c r="H909" s="88">
        <v>10716000</v>
      </c>
      <c r="I909" s="74"/>
      <c r="J909" s="55">
        <v>10716000</v>
      </c>
      <c r="K909" s="44"/>
      <c r="L909" s="85"/>
      <c r="M909" s="7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spans="1:26" ht="14.5">
      <c r="A910" s="44"/>
      <c r="B910" s="44"/>
      <c r="C910" s="44"/>
      <c r="D910" s="56" t="s">
        <v>58</v>
      </c>
      <c r="E910" s="73" t="s">
        <v>813</v>
      </c>
      <c r="F910" s="74"/>
      <c r="G910" s="57" t="s">
        <v>758</v>
      </c>
      <c r="H910" s="88">
        <v>893000</v>
      </c>
      <c r="I910" s="74"/>
      <c r="J910" s="55">
        <v>893000</v>
      </c>
      <c r="K910" s="44"/>
      <c r="L910" s="85"/>
      <c r="M910" s="7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spans="1:26" ht="14.5">
      <c r="A911" s="44"/>
      <c r="B911" s="44"/>
      <c r="C911" s="44"/>
      <c r="D911" s="56" t="s">
        <v>58</v>
      </c>
      <c r="E911" s="73" t="s">
        <v>814</v>
      </c>
      <c r="F911" s="74"/>
      <c r="G911" s="57" t="s">
        <v>758</v>
      </c>
      <c r="H911" s="88">
        <v>893000</v>
      </c>
      <c r="I911" s="74"/>
      <c r="J911" s="55">
        <v>893000</v>
      </c>
      <c r="K911" s="44"/>
      <c r="L911" s="85"/>
      <c r="M911" s="7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spans="1:26" ht="14.5">
      <c r="A912" s="73" t="s">
        <v>815</v>
      </c>
      <c r="B912" s="76"/>
      <c r="C912" s="74"/>
      <c r="D912" s="75" t="s">
        <v>816</v>
      </c>
      <c r="E912" s="76"/>
      <c r="F912" s="74"/>
      <c r="G912" s="44"/>
      <c r="H912" s="44"/>
      <c r="I912" s="45"/>
      <c r="J912" s="55">
        <v>2506000</v>
      </c>
      <c r="K912" s="44"/>
      <c r="L912" s="84" t="s">
        <v>56</v>
      </c>
      <c r="M912" s="7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spans="1:26" ht="14.5">
      <c r="A913" s="44"/>
      <c r="B913" s="44"/>
      <c r="C913" s="44"/>
      <c r="D913" s="73" t="s">
        <v>57</v>
      </c>
      <c r="E913" s="76"/>
      <c r="F913" s="7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spans="1:26" ht="14.5">
      <c r="A914" s="44"/>
      <c r="B914" s="44"/>
      <c r="C914" s="44"/>
      <c r="D914" s="56" t="s">
        <v>58</v>
      </c>
      <c r="E914" s="73" t="s">
        <v>816</v>
      </c>
      <c r="F914" s="74"/>
      <c r="G914" s="57" t="s">
        <v>758</v>
      </c>
      <c r="H914" s="88">
        <v>2148000</v>
      </c>
      <c r="I914" s="74"/>
      <c r="J914" s="55">
        <v>2148000</v>
      </c>
      <c r="K914" s="44"/>
      <c r="L914" s="85"/>
      <c r="M914" s="7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spans="1:26" ht="14.5">
      <c r="A915" s="44"/>
      <c r="B915" s="44"/>
      <c r="C915" s="44"/>
      <c r="D915" s="56" t="s">
        <v>58</v>
      </c>
      <c r="E915" s="73" t="s">
        <v>817</v>
      </c>
      <c r="F915" s="74"/>
      <c r="G915" s="57" t="s">
        <v>758</v>
      </c>
      <c r="H915" s="88">
        <v>179000</v>
      </c>
      <c r="I915" s="74"/>
      <c r="J915" s="55">
        <v>179000</v>
      </c>
      <c r="K915" s="44"/>
      <c r="L915" s="85"/>
      <c r="M915" s="7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spans="1:26" ht="14.5">
      <c r="A916" s="44"/>
      <c r="B916" s="44"/>
      <c r="C916" s="44"/>
      <c r="D916" s="56" t="s">
        <v>58</v>
      </c>
      <c r="E916" s="73" t="s">
        <v>818</v>
      </c>
      <c r="F916" s="74"/>
      <c r="G916" s="57" t="s">
        <v>758</v>
      </c>
      <c r="H916" s="88">
        <v>179000</v>
      </c>
      <c r="I916" s="74"/>
      <c r="J916" s="55">
        <v>179000</v>
      </c>
      <c r="K916" s="44"/>
      <c r="L916" s="85"/>
      <c r="M916" s="7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spans="1:26" ht="14.5">
      <c r="A917" s="73" t="s">
        <v>819</v>
      </c>
      <c r="B917" s="76"/>
      <c r="C917" s="74"/>
      <c r="D917" s="75" t="s">
        <v>820</v>
      </c>
      <c r="E917" s="76"/>
      <c r="F917" s="74"/>
      <c r="G917" s="44"/>
      <c r="H917" s="44"/>
      <c r="I917" s="45"/>
      <c r="J917" s="55">
        <v>11158000</v>
      </c>
      <c r="K917" s="44"/>
      <c r="L917" s="84" t="s">
        <v>56</v>
      </c>
      <c r="M917" s="7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spans="1:26" ht="14.5">
      <c r="A918" s="44"/>
      <c r="B918" s="44"/>
      <c r="C918" s="44"/>
      <c r="D918" s="73" t="s">
        <v>57</v>
      </c>
      <c r="E918" s="76"/>
      <c r="F918" s="7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spans="1:26" ht="14.5">
      <c r="A919" s="44"/>
      <c r="B919" s="44"/>
      <c r="C919" s="44"/>
      <c r="D919" s="56" t="s">
        <v>58</v>
      </c>
      <c r="E919" s="73" t="s">
        <v>820</v>
      </c>
      <c r="F919" s="74"/>
      <c r="G919" s="57" t="s">
        <v>758</v>
      </c>
      <c r="H919" s="88">
        <v>9564000</v>
      </c>
      <c r="I919" s="74"/>
      <c r="J919" s="55">
        <v>9564000</v>
      </c>
      <c r="K919" s="44"/>
      <c r="L919" s="85"/>
      <c r="M919" s="7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spans="1:26" ht="14.5">
      <c r="A920" s="44"/>
      <c r="B920" s="44"/>
      <c r="C920" s="44"/>
      <c r="D920" s="56" t="s">
        <v>58</v>
      </c>
      <c r="E920" s="73" t="s">
        <v>821</v>
      </c>
      <c r="F920" s="74"/>
      <c r="G920" s="57" t="s">
        <v>758</v>
      </c>
      <c r="H920" s="88">
        <v>797000</v>
      </c>
      <c r="I920" s="74"/>
      <c r="J920" s="55">
        <v>797000</v>
      </c>
      <c r="K920" s="44"/>
      <c r="L920" s="85"/>
      <c r="M920" s="7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spans="1:26" ht="14.5">
      <c r="A921" s="44"/>
      <c r="B921" s="44"/>
      <c r="C921" s="44"/>
      <c r="D921" s="56" t="s">
        <v>58</v>
      </c>
      <c r="E921" s="73" t="s">
        <v>822</v>
      </c>
      <c r="F921" s="74"/>
      <c r="G921" s="57" t="s">
        <v>758</v>
      </c>
      <c r="H921" s="88">
        <v>797000</v>
      </c>
      <c r="I921" s="74"/>
      <c r="J921" s="55">
        <v>797000</v>
      </c>
      <c r="K921" s="44"/>
      <c r="L921" s="85"/>
      <c r="M921" s="7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spans="1:26" ht="14.5">
      <c r="A922" s="73" t="s">
        <v>823</v>
      </c>
      <c r="B922" s="76"/>
      <c r="C922" s="74"/>
      <c r="D922" s="75" t="s">
        <v>824</v>
      </c>
      <c r="E922" s="76"/>
      <c r="F922" s="74"/>
      <c r="G922" s="44"/>
      <c r="H922" s="44"/>
      <c r="I922" s="45"/>
      <c r="J922" s="55">
        <v>47000000</v>
      </c>
      <c r="K922" s="44"/>
      <c r="L922" s="84" t="s">
        <v>56</v>
      </c>
      <c r="M922" s="7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spans="1:26" ht="14.5">
      <c r="A923" s="44"/>
      <c r="B923" s="44"/>
      <c r="C923" s="44"/>
      <c r="D923" s="73" t="s">
        <v>57</v>
      </c>
      <c r="E923" s="76"/>
      <c r="F923" s="7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spans="1:26" ht="14.5">
      <c r="A924" s="44"/>
      <c r="B924" s="44"/>
      <c r="C924" s="44"/>
      <c r="D924" s="56" t="s">
        <v>58</v>
      </c>
      <c r="E924" s="73" t="s">
        <v>824</v>
      </c>
      <c r="F924" s="74"/>
      <c r="G924" s="57" t="s">
        <v>758</v>
      </c>
      <c r="H924" s="88">
        <v>47000000</v>
      </c>
      <c r="I924" s="74"/>
      <c r="J924" s="55">
        <v>47000000</v>
      </c>
      <c r="K924" s="44"/>
      <c r="L924" s="85"/>
      <c r="M924" s="7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spans="1:26" ht="14.5">
      <c r="A925" s="73" t="s">
        <v>825</v>
      </c>
      <c r="B925" s="76"/>
      <c r="C925" s="74"/>
      <c r="D925" s="75" t="s">
        <v>826</v>
      </c>
      <c r="E925" s="76"/>
      <c r="F925" s="74"/>
      <c r="G925" s="44"/>
      <c r="H925" s="44"/>
      <c r="I925" s="45"/>
      <c r="J925" s="55">
        <v>12670000</v>
      </c>
      <c r="K925" s="44"/>
      <c r="L925" s="84" t="s">
        <v>56</v>
      </c>
      <c r="M925" s="7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spans="1:26" ht="14.5">
      <c r="A926" s="44"/>
      <c r="B926" s="44"/>
      <c r="C926" s="44"/>
      <c r="D926" s="73" t="s">
        <v>57</v>
      </c>
      <c r="E926" s="76"/>
      <c r="F926" s="7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spans="1:26" ht="14.5">
      <c r="A927" s="44"/>
      <c r="B927" s="44"/>
      <c r="C927" s="44"/>
      <c r="D927" s="56" t="s">
        <v>58</v>
      </c>
      <c r="E927" s="73" t="s">
        <v>826</v>
      </c>
      <c r="F927" s="74"/>
      <c r="G927" s="57" t="s">
        <v>758</v>
      </c>
      <c r="H927" s="88">
        <v>10860000</v>
      </c>
      <c r="I927" s="74"/>
      <c r="J927" s="55">
        <v>10860000</v>
      </c>
      <c r="K927" s="44"/>
      <c r="L927" s="85"/>
      <c r="M927" s="7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spans="1:26" ht="14.5">
      <c r="A928" s="44"/>
      <c r="B928" s="44"/>
      <c r="C928" s="44"/>
      <c r="D928" s="56" t="s">
        <v>58</v>
      </c>
      <c r="E928" s="73" t="s">
        <v>827</v>
      </c>
      <c r="F928" s="74"/>
      <c r="G928" s="57" t="s">
        <v>758</v>
      </c>
      <c r="H928" s="88">
        <v>905000</v>
      </c>
      <c r="I928" s="74"/>
      <c r="J928" s="55">
        <v>905000</v>
      </c>
      <c r="K928" s="44"/>
      <c r="L928" s="85"/>
      <c r="M928" s="7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spans="1:26" ht="14.5">
      <c r="A929" s="44"/>
      <c r="B929" s="44"/>
      <c r="C929" s="44"/>
      <c r="D929" s="56" t="s">
        <v>58</v>
      </c>
      <c r="E929" s="73" t="s">
        <v>828</v>
      </c>
      <c r="F929" s="74"/>
      <c r="G929" s="57" t="s">
        <v>758</v>
      </c>
      <c r="H929" s="88">
        <v>905000</v>
      </c>
      <c r="I929" s="74"/>
      <c r="J929" s="55">
        <v>905000</v>
      </c>
      <c r="K929" s="44"/>
      <c r="L929" s="85"/>
      <c r="M929" s="7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spans="1:26" ht="14.5">
      <c r="A930" s="73" t="s">
        <v>829</v>
      </c>
      <c r="B930" s="76"/>
      <c r="C930" s="74"/>
      <c r="D930" s="75" t="s">
        <v>830</v>
      </c>
      <c r="E930" s="76"/>
      <c r="F930" s="74"/>
      <c r="G930" s="44"/>
      <c r="H930" s="44"/>
      <c r="I930" s="45"/>
      <c r="J930" s="55">
        <v>4855000</v>
      </c>
      <c r="K930" s="44"/>
      <c r="L930" s="84" t="s">
        <v>56</v>
      </c>
      <c r="M930" s="7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spans="1:26" ht="14.5">
      <c r="A931" s="44"/>
      <c r="B931" s="44"/>
      <c r="C931" s="44"/>
      <c r="D931" s="73" t="s">
        <v>57</v>
      </c>
      <c r="E931" s="76"/>
      <c r="F931" s="7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spans="1:26" ht="14.5">
      <c r="A932" s="44"/>
      <c r="B932" s="44"/>
      <c r="C932" s="44"/>
      <c r="D932" s="56" t="s">
        <v>58</v>
      </c>
      <c r="E932" s="73" t="s">
        <v>830</v>
      </c>
      <c r="F932" s="74"/>
      <c r="G932" s="57" t="s">
        <v>758</v>
      </c>
      <c r="H932" s="88">
        <v>4855000</v>
      </c>
      <c r="I932" s="74"/>
      <c r="J932" s="55">
        <v>4855000</v>
      </c>
      <c r="K932" s="44"/>
      <c r="L932" s="85"/>
      <c r="M932" s="7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spans="1:26" ht="14.5">
      <c r="A933" s="73" t="s">
        <v>831</v>
      </c>
      <c r="B933" s="76"/>
      <c r="C933" s="74"/>
      <c r="D933" s="75" t="s">
        <v>832</v>
      </c>
      <c r="E933" s="76"/>
      <c r="F933" s="74"/>
      <c r="G933" s="44"/>
      <c r="H933" s="44"/>
      <c r="I933" s="45"/>
      <c r="J933" s="55">
        <v>1363144000</v>
      </c>
      <c r="K933" s="44"/>
      <c r="L933" s="84" t="s">
        <v>56</v>
      </c>
      <c r="M933" s="7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spans="1:26" ht="14.5">
      <c r="A934" s="44"/>
      <c r="B934" s="44"/>
      <c r="C934" s="44"/>
      <c r="D934" s="73" t="s">
        <v>57</v>
      </c>
      <c r="E934" s="76"/>
      <c r="F934" s="7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spans="1:26" ht="14.5">
      <c r="A935" s="44"/>
      <c r="B935" s="44"/>
      <c r="C935" s="44"/>
      <c r="D935" s="56" t="s">
        <v>58</v>
      </c>
      <c r="E935" s="73" t="s">
        <v>833</v>
      </c>
      <c r="F935" s="74"/>
      <c r="G935" s="57" t="s">
        <v>758</v>
      </c>
      <c r="H935" s="88">
        <v>1363144000</v>
      </c>
      <c r="I935" s="74"/>
      <c r="J935" s="55">
        <v>1363144000</v>
      </c>
      <c r="K935" s="44"/>
      <c r="L935" s="85"/>
      <c r="M935" s="7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spans="1:26" ht="14.5">
      <c r="A936" s="73" t="s">
        <v>834</v>
      </c>
      <c r="B936" s="76"/>
      <c r="C936" s="74"/>
      <c r="D936" s="75" t="s">
        <v>835</v>
      </c>
      <c r="E936" s="76"/>
      <c r="F936" s="74"/>
      <c r="G936" s="44"/>
      <c r="H936" s="44"/>
      <c r="I936" s="45"/>
      <c r="J936" s="55">
        <v>17200000</v>
      </c>
      <c r="K936" s="44"/>
      <c r="L936" s="84" t="s">
        <v>56</v>
      </c>
      <c r="M936" s="7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spans="1:26" ht="14.5">
      <c r="A937" s="44"/>
      <c r="B937" s="44"/>
      <c r="C937" s="44"/>
      <c r="D937" s="73" t="s">
        <v>57</v>
      </c>
      <c r="E937" s="76"/>
      <c r="F937" s="7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spans="1:26" ht="14.5">
      <c r="A938" s="44"/>
      <c r="B938" s="44"/>
      <c r="C938" s="44"/>
      <c r="D938" s="56" t="s">
        <v>58</v>
      </c>
      <c r="E938" s="73" t="s">
        <v>836</v>
      </c>
      <c r="F938" s="74"/>
      <c r="G938" s="57" t="s">
        <v>758</v>
      </c>
      <c r="H938" s="88">
        <v>17200000</v>
      </c>
      <c r="I938" s="74"/>
      <c r="J938" s="55">
        <v>17200000</v>
      </c>
      <c r="K938" s="44"/>
      <c r="L938" s="85"/>
      <c r="M938" s="7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spans="1:26" ht="14.5">
      <c r="A939" s="77" t="s">
        <v>837</v>
      </c>
      <c r="B939" s="76"/>
      <c r="C939" s="74"/>
      <c r="D939" s="77" t="s">
        <v>838</v>
      </c>
      <c r="E939" s="76"/>
      <c r="F939" s="74"/>
      <c r="G939" s="52" t="s">
        <v>50</v>
      </c>
      <c r="H939" s="44"/>
      <c r="I939" s="45"/>
      <c r="J939" s="51">
        <v>328002000</v>
      </c>
      <c r="K939" s="53" t="s">
        <v>51</v>
      </c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spans="1:26" ht="14.5">
      <c r="A940" s="78" t="s">
        <v>52</v>
      </c>
      <c r="B940" s="76"/>
      <c r="C940" s="74"/>
      <c r="D940" s="78" t="s">
        <v>53</v>
      </c>
      <c r="E940" s="76"/>
      <c r="F940" s="74"/>
      <c r="G940" s="44"/>
      <c r="H940" s="44"/>
      <c r="I940" s="45"/>
      <c r="J940" s="54">
        <v>328002000</v>
      </c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spans="1:26" ht="14.5">
      <c r="A941" s="73" t="s">
        <v>839</v>
      </c>
      <c r="B941" s="76"/>
      <c r="C941" s="74"/>
      <c r="D941" s="75" t="s">
        <v>840</v>
      </c>
      <c r="E941" s="76"/>
      <c r="F941" s="74"/>
      <c r="G941" s="44"/>
      <c r="H941" s="44"/>
      <c r="I941" s="45"/>
      <c r="J941" s="55">
        <v>81404000</v>
      </c>
      <c r="K941" s="44"/>
      <c r="L941" s="84" t="s">
        <v>56</v>
      </c>
      <c r="M941" s="7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spans="1:26" ht="14.5">
      <c r="A942" s="44"/>
      <c r="B942" s="44"/>
      <c r="C942" s="44"/>
      <c r="D942" s="73" t="s">
        <v>57</v>
      </c>
      <c r="E942" s="76"/>
      <c r="F942" s="7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spans="1:26" ht="14.5">
      <c r="A943" s="44"/>
      <c r="B943" s="44"/>
      <c r="C943" s="44"/>
      <c r="D943" s="56" t="s">
        <v>58</v>
      </c>
      <c r="E943" s="73" t="s">
        <v>841</v>
      </c>
      <c r="F943" s="74"/>
      <c r="G943" s="57" t="s">
        <v>842</v>
      </c>
      <c r="H943" s="88">
        <v>2202000</v>
      </c>
      <c r="I943" s="74"/>
      <c r="J943" s="55">
        <v>2202000</v>
      </c>
      <c r="K943" s="44"/>
      <c r="L943" s="85"/>
      <c r="M943" s="7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spans="1:26" ht="14.5">
      <c r="A944" s="44"/>
      <c r="B944" s="44"/>
      <c r="C944" s="44"/>
      <c r="D944" s="56" t="s">
        <v>58</v>
      </c>
      <c r="E944" s="73" t="s">
        <v>843</v>
      </c>
      <c r="F944" s="74"/>
      <c r="G944" s="57" t="s">
        <v>842</v>
      </c>
      <c r="H944" s="88">
        <v>150000</v>
      </c>
      <c r="I944" s="74"/>
      <c r="J944" s="55">
        <v>150000</v>
      </c>
      <c r="K944" s="44"/>
      <c r="L944" s="85"/>
      <c r="M944" s="7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spans="1:26" ht="14.5">
      <c r="A945" s="44"/>
      <c r="B945" s="44"/>
      <c r="C945" s="44"/>
      <c r="D945" s="56" t="s">
        <v>58</v>
      </c>
      <c r="E945" s="73" t="s">
        <v>844</v>
      </c>
      <c r="F945" s="74"/>
      <c r="G945" s="57" t="s">
        <v>845</v>
      </c>
      <c r="H945" s="88">
        <v>34979000</v>
      </c>
      <c r="I945" s="74"/>
      <c r="J945" s="55">
        <v>34979000</v>
      </c>
      <c r="K945" s="44"/>
      <c r="L945" s="85"/>
      <c r="M945" s="7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spans="1:26" ht="14.5">
      <c r="A946" s="44"/>
      <c r="B946" s="44"/>
      <c r="C946" s="44"/>
      <c r="D946" s="56" t="s">
        <v>58</v>
      </c>
      <c r="E946" s="73" t="s">
        <v>846</v>
      </c>
      <c r="F946" s="74"/>
      <c r="G946" s="57" t="s">
        <v>110</v>
      </c>
      <c r="H946" s="88">
        <v>669000</v>
      </c>
      <c r="I946" s="74"/>
      <c r="J946" s="55">
        <v>669000</v>
      </c>
      <c r="K946" s="44"/>
      <c r="L946" s="85"/>
      <c r="M946" s="7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spans="1:26" ht="14.5">
      <c r="A947" s="44"/>
      <c r="B947" s="44"/>
      <c r="C947" s="44"/>
      <c r="D947" s="56" t="s">
        <v>58</v>
      </c>
      <c r="E947" s="73" t="s">
        <v>847</v>
      </c>
      <c r="F947" s="74"/>
      <c r="G947" s="57" t="s">
        <v>848</v>
      </c>
      <c r="H947" s="88">
        <v>1500000</v>
      </c>
      <c r="I947" s="74"/>
      <c r="J947" s="55">
        <v>1500000</v>
      </c>
      <c r="K947" s="44"/>
      <c r="L947" s="85"/>
      <c r="M947" s="7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spans="1:26" ht="14.5">
      <c r="A948" s="44"/>
      <c r="B948" s="44"/>
      <c r="C948" s="44"/>
      <c r="D948" s="56" t="s">
        <v>58</v>
      </c>
      <c r="E948" s="73" t="s">
        <v>849</v>
      </c>
      <c r="F948" s="74"/>
      <c r="G948" s="57" t="s">
        <v>248</v>
      </c>
      <c r="H948" s="88">
        <v>3492000</v>
      </c>
      <c r="I948" s="74"/>
      <c r="J948" s="55">
        <v>41904000</v>
      </c>
      <c r="K948" s="44"/>
      <c r="L948" s="85"/>
      <c r="M948" s="7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spans="1:26" ht="14.5">
      <c r="A949" s="73" t="s">
        <v>850</v>
      </c>
      <c r="B949" s="76"/>
      <c r="C949" s="74"/>
      <c r="D949" s="75" t="s">
        <v>851</v>
      </c>
      <c r="E949" s="76"/>
      <c r="F949" s="74"/>
      <c r="G949" s="44"/>
      <c r="H949" s="44"/>
      <c r="I949" s="45"/>
      <c r="J949" s="55">
        <v>44760000</v>
      </c>
      <c r="K949" s="44"/>
      <c r="L949" s="84" t="s">
        <v>56</v>
      </c>
      <c r="M949" s="7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spans="1:26" ht="14.5">
      <c r="A950" s="44"/>
      <c r="B950" s="44"/>
      <c r="C950" s="44"/>
      <c r="D950" s="73" t="s">
        <v>57</v>
      </c>
      <c r="E950" s="76"/>
      <c r="F950" s="7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spans="1:26" ht="14.5">
      <c r="A951" s="44"/>
      <c r="B951" s="44"/>
      <c r="C951" s="44"/>
      <c r="D951" s="56" t="s">
        <v>58</v>
      </c>
      <c r="E951" s="73" t="s">
        <v>852</v>
      </c>
      <c r="F951" s="74"/>
      <c r="G951" s="57" t="s">
        <v>853</v>
      </c>
      <c r="H951" s="88">
        <v>1180000</v>
      </c>
      <c r="I951" s="74"/>
      <c r="J951" s="55">
        <v>14160000</v>
      </c>
      <c r="K951" s="44"/>
      <c r="L951" s="85"/>
      <c r="M951" s="7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spans="1:26" ht="14.5">
      <c r="A952" s="44"/>
      <c r="B952" s="44"/>
      <c r="C952" s="44"/>
      <c r="D952" s="56" t="s">
        <v>58</v>
      </c>
      <c r="E952" s="73" t="s">
        <v>854</v>
      </c>
      <c r="F952" s="74"/>
      <c r="G952" s="57" t="s">
        <v>853</v>
      </c>
      <c r="H952" s="88">
        <v>1150000</v>
      </c>
      <c r="I952" s="74"/>
      <c r="J952" s="55">
        <v>13800000</v>
      </c>
      <c r="K952" s="44"/>
      <c r="L952" s="85"/>
      <c r="M952" s="7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spans="1:26" ht="14.5">
      <c r="A953" s="44"/>
      <c r="B953" s="44"/>
      <c r="C953" s="44"/>
      <c r="D953" s="56" t="s">
        <v>58</v>
      </c>
      <c r="E953" s="73" t="s">
        <v>855</v>
      </c>
      <c r="F953" s="74"/>
      <c r="G953" s="57" t="s">
        <v>853</v>
      </c>
      <c r="H953" s="88">
        <v>470000</v>
      </c>
      <c r="I953" s="74"/>
      <c r="J953" s="55">
        <v>5640000</v>
      </c>
      <c r="K953" s="44"/>
      <c r="L953" s="85"/>
      <c r="M953" s="7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spans="1:26" ht="14.5">
      <c r="A954" s="44"/>
      <c r="B954" s="44"/>
      <c r="C954" s="44"/>
      <c r="D954" s="56" t="s">
        <v>58</v>
      </c>
      <c r="E954" s="73" t="s">
        <v>856</v>
      </c>
      <c r="F954" s="74"/>
      <c r="G954" s="57" t="s">
        <v>853</v>
      </c>
      <c r="H954" s="88">
        <v>410000</v>
      </c>
      <c r="I954" s="74"/>
      <c r="J954" s="55">
        <v>4920000</v>
      </c>
      <c r="K954" s="44"/>
      <c r="L954" s="85"/>
      <c r="M954" s="7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spans="1:26" ht="14.5">
      <c r="A955" s="44"/>
      <c r="B955" s="44"/>
      <c r="C955" s="44"/>
      <c r="D955" s="56" t="s">
        <v>58</v>
      </c>
      <c r="E955" s="73" t="s">
        <v>857</v>
      </c>
      <c r="F955" s="74"/>
      <c r="G955" s="57" t="s">
        <v>853</v>
      </c>
      <c r="H955" s="88">
        <v>340000</v>
      </c>
      <c r="I955" s="74"/>
      <c r="J955" s="55">
        <v>4080000</v>
      </c>
      <c r="K955" s="44"/>
      <c r="L955" s="85"/>
      <c r="M955" s="7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spans="1:26" ht="14.5">
      <c r="A956" s="44"/>
      <c r="B956" s="44"/>
      <c r="C956" s="44"/>
      <c r="D956" s="56" t="s">
        <v>58</v>
      </c>
      <c r="E956" s="73" t="s">
        <v>858</v>
      </c>
      <c r="F956" s="74"/>
      <c r="G956" s="57" t="s">
        <v>853</v>
      </c>
      <c r="H956" s="88">
        <v>180000</v>
      </c>
      <c r="I956" s="74"/>
      <c r="J956" s="55">
        <v>2160000</v>
      </c>
      <c r="K956" s="44"/>
      <c r="L956" s="85"/>
      <c r="M956" s="7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spans="1:26" ht="14.5">
      <c r="A957" s="73" t="s">
        <v>859</v>
      </c>
      <c r="B957" s="76"/>
      <c r="C957" s="74"/>
      <c r="D957" s="75" t="s">
        <v>860</v>
      </c>
      <c r="E957" s="76"/>
      <c r="F957" s="74"/>
      <c r="G957" s="44"/>
      <c r="H957" s="44"/>
      <c r="I957" s="45"/>
      <c r="J957" s="55">
        <v>25200000</v>
      </c>
      <c r="K957" s="44"/>
      <c r="L957" s="84" t="s">
        <v>56</v>
      </c>
      <c r="M957" s="7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spans="1:26" ht="14.5">
      <c r="A958" s="44"/>
      <c r="B958" s="44"/>
      <c r="C958" s="44"/>
      <c r="D958" s="73" t="s">
        <v>57</v>
      </c>
      <c r="E958" s="76"/>
      <c r="F958" s="7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spans="1:26" ht="14.5">
      <c r="A959" s="44"/>
      <c r="B959" s="44"/>
      <c r="C959" s="44"/>
      <c r="D959" s="56" t="s">
        <v>58</v>
      </c>
      <c r="E959" s="73" t="s">
        <v>861</v>
      </c>
      <c r="F959" s="74"/>
      <c r="G959" s="57" t="s">
        <v>862</v>
      </c>
      <c r="H959" s="88">
        <v>600000</v>
      </c>
      <c r="I959" s="74"/>
      <c r="J959" s="55">
        <v>21600000</v>
      </c>
      <c r="K959" s="44"/>
      <c r="L959" s="85"/>
      <c r="M959" s="7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spans="1:26" ht="14.5">
      <c r="A960" s="44"/>
      <c r="B960" s="44"/>
      <c r="C960" s="44"/>
      <c r="D960" s="56" t="s">
        <v>58</v>
      </c>
      <c r="E960" s="73" t="s">
        <v>863</v>
      </c>
      <c r="F960" s="74"/>
      <c r="G960" s="57" t="s">
        <v>864</v>
      </c>
      <c r="H960" s="88">
        <v>200000</v>
      </c>
      <c r="I960" s="74"/>
      <c r="J960" s="55">
        <v>1200000</v>
      </c>
      <c r="K960" s="44"/>
      <c r="L960" s="85"/>
      <c r="M960" s="7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spans="1:26" ht="14.5">
      <c r="A961" s="44"/>
      <c r="B961" s="44"/>
      <c r="C961" s="44"/>
      <c r="D961" s="56" t="s">
        <v>58</v>
      </c>
      <c r="E961" s="73" t="s">
        <v>865</v>
      </c>
      <c r="F961" s="74"/>
      <c r="G961" s="57" t="s">
        <v>318</v>
      </c>
      <c r="H961" s="88">
        <v>200000</v>
      </c>
      <c r="I961" s="74"/>
      <c r="J961" s="55">
        <v>2400000</v>
      </c>
      <c r="K961" s="44"/>
      <c r="L961" s="85"/>
      <c r="M961" s="7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spans="1:26" ht="14.5">
      <c r="A962" s="73" t="s">
        <v>101</v>
      </c>
      <c r="B962" s="76"/>
      <c r="C962" s="74"/>
      <c r="D962" s="75" t="s">
        <v>102</v>
      </c>
      <c r="E962" s="76"/>
      <c r="F962" s="74"/>
      <c r="G962" s="44"/>
      <c r="H962" s="44"/>
      <c r="I962" s="45"/>
      <c r="J962" s="55">
        <v>9000000</v>
      </c>
      <c r="K962" s="44"/>
      <c r="L962" s="84" t="s">
        <v>56</v>
      </c>
      <c r="M962" s="7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spans="1:26" ht="14.5">
      <c r="A963" s="44"/>
      <c r="B963" s="44"/>
      <c r="C963" s="44"/>
      <c r="D963" s="73" t="s">
        <v>57</v>
      </c>
      <c r="E963" s="76"/>
      <c r="F963" s="7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spans="1:26" ht="14.5">
      <c r="A964" s="44"/>
      <c r="B964" s="44"/>
      <c r="C964" s="44"/>
      <c r="D964" s="56" t="s">
        <v>58</v>
      </c>
      <c r="E964" s="73" t="s">
        <v>866</v>
      </c>
      <c r="F964" s="74"/>
      <c r="G964" s="57" t="s">
        <v>110</v>
      </c>
      <c r="H964" s="88">
        <v>7500000</v>
      </c>
      <c r="I964" s="74"/>
      <c r="J964" s="55">
        <v>7500000</v>
      </c>
      <c r="K964" s="44"/>
      <c r="L964" s="85"/>
      <c r="M964" s="7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spans="1:26" ht="14.5">
      <c r="A965" s="44"/>
      <c r="B965" s="44"/>
      <c r="C965" s="44"/>
      <c r="D965" s="56" t="s">
        <v>58</v>
      </c>
      <c r="E965" s="73" t="s">
        <v>867</v>
      </c>
      <c r="F965" s="74"/>
      <c r="G965" s="57" t="s">
        <v>868</v>
      </c>
      <c r="H965" s="88">
        <v>30000</v>
      </c>
      <c r="I965" s="74"/>
      <c r="J965" s="55">
        <v>1500000</v>
      </c>
      <c r="K965" s="44"/>
      <c r="L965" s="85"/>
      <c r="M965" s="7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spans="1:26" ht="14.5">
      <c r="A966" s="73" t="s">
        <v>90</v>
      </c>
      <c r="B966" s="76"/>
      <c r="C966" s="74"/>
      <c r="D966" s="75" t="s">
        <v>91</v>
      </c>
      <c r="E966" s="76"/>
      <c r="F966" s="74"/>
      <c r="G966" s="44"/>
      <c r="H966" s="44"/>
      <c r="I966" s="45"/>
      <c r="J966" s="55">
        <v>400000</v>
      </c>
      <c r="K966" s="44"/>
      <c r="L966" s="84" t="s">
        <v>56</v>
      </c>
      <c r="M966" s="7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spans="1:26" ht="14.5">
      <c r="A967" s="44"/>
      <c r="B967" s="44"/>
      <c r="C967" s="44"/>
      <c r="D967" s="73" t="s">
        <v>57</v>
      </c>
      <c r="E967" s="76"/>
      <c r="F967" s="7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spans="1:26" ht="14.5">
      <c r="A968" s="44"/>
      <c r="B968" s="44"/>
      <c r="C968" s="44"/>
      <c r="D968" s="56" t="s">
        <v>58</v>
      </c>
      <c r="E968" s="73" t="s">
        <v>869</v>
      </c>
      <c r="F968" s="74"/>
      <c r="G968" s="57" t="s">
        <v>97</v>
      </c>
      <c r="H968" s="88">
        <v>200000</v>
      </c>
      <c r="I968" s="74"/>
      <c r="J968" s="55">
        <v>400000</v>
      </c>
      <c r="K968" s="44"/>
      <c r="L968" s="85"/>
      <c r="M968" s="7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spans="1:26" ht="14.5">
      <c r="A969" s="73" t="s">
        <v>107</v>
      </c>
      <c r="B969" s="76"/>
      <c r="C969" s="74"/>
      <c r="D969" s="75" t="s">
        <v>108</v>
      </c>
      <c r="E969" s="76"/>
      <c r="F969" s="74"/>
      <c r="G969" s="44"/>
      <c r="H969" s="44"/>
      <c r="I969" s="45"/>
      <c r="J969" s="55">
        <v>7708000</v>
      </c>
      <c r="K969" s="44"/>
      <c r="L969" s="84" t="s">
        <v>56</v>
      </c>
      <c r="M969" s="7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spans="1:26" ht="14.5">
      <c r="A970" s="44"/>
      <c r="B970" s="44"/>
      <c r="C970" s="44"/>
      <c r="D970" s="73" t="s">
        <v>57</v>
      </c>
      <c r="E970" s="76"/>
      <c r="F970" s="7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spans="1:26" ht="14.5">
      <c r="A971" s="44"/>
      <c r="B971" s="44"/>
      <c r="C971" s="44"/>
      <c r="D971" s="56" t="s">
        <v>58</v>
      </c>
      <c r="E971" s="73" t="s">
        <v>870</v>
      </c>
      <c r="F971" s="74"/>
      <c r="G971" s="57" t="s">
        <v>110</v>
      </c>
      <c r="H971" s="88">
        <v>7708000</v>
      </c>
      <c r="I971" s="74"/>
      <c r="J971" s="55">
        <v>7708000</v>
      </c>
      <c r="K971" s="44"/>
      <c r="L971" s="85"/>
      <c r="M971" s="7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spans="1:26" ht="14.5">
      <c r="A972" s="73" t="s">
        <v>871</v>
      </c>
      <c r="B972" s="76"/>
      <c r="C972" s="74"/>
      <c r="D972" s="75" t="s">
        <v>872</v>
      </c>
      <c r="E972" s="76"/>
      <c r="F972" s="74"/>
      <c r="G972" s="44"/>
      <c r="H972" s="44"/>
      <c r="I972" s="45"/>
      <c r="J972" s="55">
        <v>27309000</v>
      </c>
      <c r="K972" s="44"/>
      <c r="L972" s="84" t="s">
        <v>56</v>
      </c>
      <c r="M972" s="7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spans="1:26" ht="14.5">
      <c r="A973" s="44"/>
      <c r="B973" s="44"/>
      <c r="C973" s="44"/>
      <c r="D973" s="73" t="s">
        <v>57</v>
      </c>
      <c r="E973" s="76"/>
      <c r="F973" s="7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spans="1:26" ht="14.5">
      <c r="A974" s="44"/>
      <c r="B974" s="44"/>
      <c r="C974" s="44"/>
      <c r="D974" s="56" t="s">
        <v>58</v>
      </c>
      <c r="E974" s="73" t="s">
        <v>873</v>
      </c>
      <c r="F974" s="74"/>
      <c r="G974" s="57" t="s">
        <v>758</v>
      </c>
      <c r="H974" s="88">
        <v>27309000</v>
      </c>
      <c r="I974" s="74"/>
      <c r="J974" s="55">
        <v>27309000</v>
      </c>
      <c r="K974" s="44"/>
      <c r="L974" s="85"/>
      <c r="M974" s="7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spans="1:26" ht="14.5">
      <c r="A975" s="73" t="s">
        <v>874</v>
      </c>
      <c r="B975" s="76"/>
      <c r="C975" s="74"/>
      <c r="D975" s="75" t="s">
        <v>875</v>
      </c>
      <c r="E975" s="76"/>
      <c r="F975" s="74"/>
      <c r="G975" s="44"/>
      <c r="H975" s="44"/>
      <c r="I975" s="45"/>
      <c r="J975" s="55">
        <v>816000</v>
      </c>
      <c r="K975" s="44"/>
      <c r="L975" s="84" t="s">
        <v>56</v>
      </c>
      <c r="M975" s="7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spans="1:26" ht="14.5">
      <c r="A976" s="44"/>
      <c r="B976" s="44"/>
      <c r="C976" s="44"/>
      <c r="D976" s="73" t="s">
        <v>57</v>
      </c>
      <c r="E976" s="76"/>
      <c r="F976" s="7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spans="1:26" ht="14.5">
      <c r="A977" s="44"/>
      <c r="B977" s="44"/>
      <c r="C977" s="44"/>
      <c r="D977" s="56" t="s">
        <v>58</v>
      </c>
      <c r="E977" s="73" t="s">
        <v>876</v>
      </c>
      <c r="F977" s="74"/>
      <c r="G977" s="57" t="s">
        <v>758</v>
      </c>
      <c r="H977" s="88">
        <v>816000</v>
      </c>
      <c r="I977" s="74"/>
      <c r="J977" s="55">
        <v>816000</v>
      </c>
      <c r="K977" s="44"/>
      <c r="L977" s="85"/>
      <c r="M977" s="7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spans="1:26" ht="14.5">
      <c r="A978" s="73" t="s">
        <v>877</v>
      </c>
      <c r="B978" s="76"/>
      <c r="C978" s="74"/>
      <c r="D978" s="75" t="s">
        <v>878</v>
      </c>
      <c r="E978" s="76"/>
      <c r="F978" s="74"/>
      <c r="G978" s="44"/>
      <c r="H978" s="44"/>
      <c r="I978" s="45"/>
      <c r="J978" s="55">
        <v>4600000</v>
      </c>
      <c r="K978" s="44"/>
      <c r="L978" s="84" t="s">
        <v>56</v>
      </c>
      <c r="M978" s="7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spans="1:26" ht="14.5">
      <c r="A979" s="44"/>
      <c r="B979" s="44"/>
      <c r="C979" s="44"/>
      <c r="D979" s="73" t="s">
        <v>57</v>
      </c>
      <c r="E979" s="76"/>
      <c r="F979" s="7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spans="1:26" ht="14.5">
      <c r="A980" s="44"/>
      <c r="B980" s="44"/>
      <c r="C980" s="44"/>
      <c r="D980" s="56" t="s">
        <v>58</v>
      </c>
      <c r="E980" s="73" t="s">
        <v>879</v>
      </c>
      <c r="F980" s="74"/>
      <c r="G980" s="57" t="s">
        <v>758</v>
      </c>
      <c r="H980" s="88">
        <v>4600000</v>
      </c>
      <c r="I980" s="74"/>
      <c r="J980" s="55">
        <v>4600000</v>
      </c>
      <c r="K980" s="44"/>
      <c r="L980" s="85"/>
      <c r="M980" s="7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spans="1:26" ht="14.5">
      <c r="A981" s="73" t="s">
        <v>880</v>
      </c>
      <c r="B981" s="76"/>
      <c r="C981" s="74"/>
      <c r="D981" s="75" t="s">
        <v>881</v>
      </c>
      <c r="E981" s="76"/>
      <c r="F981" s="74"/>
      <c r="G981" s="44"/>
      <c r="H981" s="44"/>
      <c r="I981" s="45"/>
      <c r="J981" s="55">
        <v>18650000</v>
      </c>
      <c r="K981" s="44"/>
      <c r="L981" s="84" t="s">
        <v>56</v>
      </c>
      <c r="M981" s="7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spans="1:26" ht="14.5">
      <c r="A982" s="44"/>
      <c r="B982" s="44"/>
      <c r="C982" s="44"/>
      <c r="D982" s="73" t="s">
        <v>57</v>
      </c>
      <c r="E982" s="76"/>
      <c r="F982" s="7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spans="1:26" ht="14.5">
      <c r="A983" s="44"/>
      <c r="B983" s="44"/>
      <c r="C983" s="44"/>
      <c r="D983" s="56" t="s">
        <v>58</v>
      </c>
      <c r="E983" s="73" t="s">
        <v>882</v>
      </c>
      <c r="F983" s="74"/>
      <c r="G983" s="57" t="s">
        <v>758</v>
      </c>
      <c r="H983" s="88">
        <v>18650000</v>
      </c>
      <c r="I983" s="74"/>
      <c r="J983" s="55">
        <v>18650000</v>
      </c>
      <c r="K983" s="44"/>
      <c r="L983" s="85"/>
      <c r="M983" s="7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spans="1:26" ht="14.5">
      <c r="A984" s="73" t="s">
        <v>883</v>
      </c>
      <c r="B984" s="76"/>
      <c r="C984" s="74"/>
      <c r="D984" s="75" t="s">
        <v>884</v>
      </c>
      <c r="E984" s="76"/>
      <c r="F984" s="74"/>
      <c r="G984" s="44"/>
      <c r="H984" s="44"/>
      <c r="I984" s="45"/>
      <c r="J984" s="55">
        <v>35582000</v>
      </c>
      <c r="K984" s="44"/>
      <c r="L984" s="84" t="s">
        <v>56</v>
      </c>
      <c r="M984" s="7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spans="1:26" ht="14.5">
      <c r="A985" s="44"/>
      <c r="B985" s="44"/>
      <c r="C985" s="44"/>
      <c r="D985" s="73" t="s">
        <v>57</v>
      </c>
      <c r="E985" s="76"/>
      <c r="F985" s="7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spans="1:26" ht="14.5">
      <c r="A986" s="44"/>
      <c r="B986" s="44"/>
      <c r="C986" s="44"/>
      <c r="D986" s="56" t="s">
        <v>58</v>
      </c>
      <c r="E986" s="73" t="s">
        <v>885</v>
      </c>
      <c r="F986" s="74"/>
      <c r="G986" s="57" t="s">
        <v>886</v>
      </c>
      <c r="H986" s="88">
        <v>103568</v>
      </c>
      <c r="I986" s="74"/>
      <c r="J986" s="55">
        <v>28999000</v>
      </c>
      <c r="K986" s="44"/>
      <c r="L986" s="85"/>
      <c r="M986" s="7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spans="1:26" ht="14.5">
      <c r="A987" s="44"/>
      <c r="B987" s="44"/>
      <c r="C987" s="44"/>
      <c r="D987" s="56" t="s">
        <v>58</v>
      </c>
      <c r="E987" s="73" t="s">
        <v>885</v>
      </c>
      <c r="F987" s="74"/>
      <c r="G987" s="57" t="s">
        <v>887</v>
      </c>
      <c r="H987" s="88">
        <v>7847</v>
      </c>
      <c r="I987" s="74"/>
      <c r="J987" s="55">
        <v>6583000</v>
      </c>
      <c r="K987" s="44"/>
      <c r="L987" s="85"/>
      <c r="M987" s="7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spans="1:26" ht="14.5">
      <c r="A988" s="73" t="s">
        <v>176</v>
      </c>
      <c r="B988" s="76"/>
      <c r="C988" s="74"/>
      <c r="D988" s="75" t="s">
        <v>177</v>
      </c>
      <c r="E988" s="76"/>
      <c r="F988" s="74"/>
      <c r="G988" s="44"/>
      <c r="H988" s="44"/>
      <c r="I988" s="44"/>
      <c r="J988" s="45"/>
      <c r="K988" s="55">
        <v>68011000</v>
      </c>
      <c r="L988" s="44"/>
      <c r="M988" s="44"/>
      <c r="N988" s="84" t="s">
        <v>56</v>
      </c>
      <c r="O988" s="7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spans="1:26" ht="14.5">
      <c r="A989" s="44"/>
      <c r="B989" s="44"/>
      <c r="C989" s="44"/>
      <c r="D989" s="73" t="s">
        <v>57</v>
      </c>
      <c r="E989" s="76"/>
      <c r="F989" s="7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spans="1:26" ht="14.5">
      <c r="A990" s="44"/>
      <c r="B990" s="44"/>
      <c r="C990" s="44"/>
      <c r="D990" s="56" t="s">
        <v>58</v>
      </c>
      <c r="E990" s="73" t="s">
        <v>888</v>
      </c>
      <c r="F990" s="74"/>
      <c r="G990" s="57" t="s">
        <v>842</v>
      </c>
      <c r="H990" s="88">
        <v>4305000</v>
      </c>
      <c r="I990" s="74"/>
      <c r="J990" s="45"/>
      <c r="K990" s="55">
        <v>4305000</v>
      </c>
      <c r="L990" s="44"/>
      <c r="M990" s="44"/>
      <c r="N990" s="85"/>
      <c r="O990" s="7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spans="1:26" ht="14.5">
      <c r="A991" s="44"/>
      <c r="B991" s="44"/>
      <c r="C991" s="44"/>
      <c r="D991" s="56" t="s">
        <v>58</v>
      </c>
      <c r="E991" s="73" t="s">
        <v>889</v>
      </c>
      <c r="F991" s="74"/>
      <c r="G991" s="57" t="s">
        <v>890</v>
      </c>
      <c r="H991" s="88">
        <v>66612</v>
      </c>
      <c r="I991" s="74"/>
      <c r="J991" s="45"/>
      <c r="K991" s="55">
        <v>1199000</v>
      </c>
      <c r="L991" s="44"/>
      <c r="M991" s="44"/>
      <c r="N991" s="85"/>
      <c r="O991" s="7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spans="1:26" ht="14.5">
      <c r="A992" s="44"/>
      <c r="B992" s="44"/>
      <c r="C992" s="44"/>
      <c r="D992" s="56" t="s">
        <v>58</v>
      </c>
      <c r="E992" s="73" t="s">
        <v>891</v>
      </c>
      <c r="F992" s="74"/>
      <c r="G992" s="57" t="s">
        <v>892</v>
      </c>
      <c r="H992" s="88">
        <v>804500</v>
      </c>
      <c r="I992" s="74"/>
      <c r="J992" s="45"/>
      <c r="K992" s="55">
        <v>4827000</v>
      </c>
      <c r="L992" s="44"/>
      <c r="M992" s="44"/>
      <c r="N992" s="85"/>
      <c r="O992" s="7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spans="1:26" ht="14.5">
      <c r="A993" s="44"/>
      <c r="B993" s="44"/>
      <c r="C993" s="44"/>
      <c r="D993" s="56" t="s">
        <v>58</v>
      </c>
      <c r="E993" s="73" t="s">
        <v>893</v>
      </c>
      <c r="F993" s="74"/>
      <c r="G993" s="57" t="s">
        <v>842</v>
      </c>
      <c r="H993" s="88">
        <v>5988000</v>
      </c>
      <c r="I993" s="74"/>
      <c r="J993" s="45"/>
      <c r="K993" s="55">
        <v>5988000</v>
      </c>
      <c r="L993" s="44"/>
      <c r="M993" s="44"/>
      <c r="N993" s="85"/>
      <c r="O993" s="7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spans="1:26" ht="14.5">
      <c r="A994" s="44"/>
      <c r="B994" s="44"/>
      <c r="C994" s="44"/>
      <c r="D994" s="56" t="s">
        <v>58</v>
      </c>
      <c r="E994" s="73" t="s">
        <v>894</v>
      </c>
      <c r="F994" s="74"/>
      <c r="G994" s="57" t="s">
        <v>842</v>
      </c>
      <c r="H994" s="88">
        <v>31179000</v>
      </c>
      <c r="I994" s="74"/>
      <c r="J994" s="45"/>
      <c r="K994" s="55">
        <v>31179000</v>
      </c>
      <c r="L994" s="44"/>
      <c r="M994" s="44"/>
      <c r="N994" s="85"/>
      <c r="O994" s="7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spans="1:26" ht="14.5">
      <c r="A995" s="44"/>
      <c r="B995" s="44"/>
      <c r="C995" s="44"/>
      <c r="D995" s="56" t="s">
        <v>58</v>
      </c>
      <c r="E995" s="73" t="s">
        <v>895</v>
      </c>
      <c r="F995" s="74"/>
      <c r="G995" s="57" t="s">
        <v>896</v>
      </c>
      <c r="H995" s="88">
        <v>607914</v>
      </c>
      <c r="I995" s="74"/>
      <c r="J995" s="45"/>
      <c r="K995" s="55">
        <v>13982000</v>
      </c>
      <c r="L995" s="44"/>
      <c r="M995" s="44"/>
      <c r="N995" s="85"/>
      <c r="O995" s="7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spans="1:26" ht="14.5">
      <c r="A996" s="44"/>
      <c r="B996" s="44"/>
      <c r="C996" s="44"/>
      <c r="D996" s="56" t="s">
        <v>58</v>
      </c>
      <c r="E996" s="73" t="s">
        <v>897</v>
      </c>
      <c r="F996" s="74"/>
      <c r="G996" s="57" t="s">
        <v>898</v>
      </c>
      <c r="H996" s="88">
        <v>574667</v>
      </c>
      <c r="I996" s="74"/>
      <c r="J996" s="45"/>
      <c r="K996" s="55">
        <v>5172000</v>
      </c>
      <c r="L996" s="44"/>
      <c r="M996" s="44"/>
      <c r="N996" s="85"/>
      <c r="O996" s="7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spans="1:26" ht="14.5">
      <c r="A997" s="44"/>
      <c r="B997" s="44"/>
      <c r="C997" s="44"/>
      <c r="D997" s="56" t="s">
        <v>58</v>
      </c>
      <c r="E997" s="73" t="s">
        <v>899</v>
      </c>
      <c r="F997" s="74"/>
      <c r="G997" s="57" t="s">
        <v>900</v>
      </c>
      <c r="H997" s="88">
        <v>84938</v>
      </c>
      <c r="I997" s="74"/>
      <c r="J997" s="45"/>
      <c r="K997" s="55">
        <v>1359000</v>
      </c>
      <c r="L997" s="44"/>
      <c r="M997" s="44"/>
      <c r="N997" s="85"/>
      <c r="O997" s="7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spans="1:26" ht="14.5">
      <c r="A998" s="73" t="s">
        <v>596</v>
      </c>
      <c r="B998" s="76"/>
      <c r="C998" s="74"/>
      <c r="D998" s="75" t="s">
        <v>597</v>
      </c>
      <c r="E998" s="76"/>
      <c r="F998" s="74"/>
      <c r="G998" s="44"/>
      <c r="H998" s="44"/>
      <c r="I998" s="44"/>
      <c r="J998" s="45"/>
      <c r="K998" s="55">
        <v>4562000</v>
      </c>
      <c r="L998" s="44"/>
      <c r="M998" s="44"/>
      <c r="N998" s="84" t="s">
        <v>56</v>
      </c>
      <c r="O998" s="7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spans="1:26" ht="14.5">
      <c r="A999" s="44"/>
      <c r="B999" s="44"/>
      <c r="C999" s="44"/>
      <c r="D999" s="73" t="s">
        <v>57</v>
      </c>
      <c r="E999" s="76"/>
      <c r="F999" s="7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spans="1:26" ht="14.5">
      <c r="A1000" s="44"/>
      <c r="B1000" s="44"/>
      <c r="C1000" s="44"/>
      <c r="D1000" s="56" t="s">
        <v>58</v>
      </c>
      <c r="E1000" s="73" t="s">
        <v>901</v>
      </c>
      <c r="F1000" s="74"/>
      <c r="G1000" s="57" t="s">
        <v>902</v>
      </c>
      <c r="H1000" s="88">
        <v>1140500</v>
      </c>
      <c r="I1000" s="74"/>
      <c r="J1000" s="45"/>
      <c r="K1000" s="55">
        <v>4562000</v>
      </c>
      <c r="L1000" s="44"/>
      <c r="M1000" s="44"/>
      <c r="N1000" s="85"/>
      <c r="O1000" s="7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  <row r="1001" spans="1:26" ht="17.5">
      <c r="A1001" s="79" t="s">
        <v>903</v>
      </c>
      <c r="B1001" s="76"/>
      <c r="C1001" s="74"/>
      <c r="D1001" s="79" t="s">
        <v>904</v>
      </c>
      <c r="E1001" s="76"/>
      <c r="F1001" s="74"/>
      <c r="G1001" s="48" t="s">
        <v>905</v>
      </c>
      <c r="H1001" s="44"/>
      <c r="I1001" s="44"/>
      <c r="J1001" s="45"/>
      <c r="K1001" s="49">
        <v>15382000</v>
      </c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</row>
    <row r="1002" spans="1:26" ht="14.5">
      <c r="A1002" s="44"/>
      <c r="B1002" s="44"/>
      <c r="C1002" s="44"/>
      <c r="D1002" s="73" t="s">
        <v>44</v>
      </c>
      <c r="E1002" s="76"/>
      <c r="F1002" s="7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</row>
    <row r="1003" spans="1:26" ht="14.5">
      <c r="A1003" s="77" t="s">
        <v>906</v>
      </c>
      <c r="B1003" s="76"/>
      <c r="C1003" s="74"/>
      <c r="D1003" s="77" t="s">
        <v>907</v>
      </c>
      <c r="E1003" s="76"/>
      <c r="F1003" s="74"/>
      <c r="G1003" s="50" t="s">
        <v>908</v>
      </c>
      <c r="H1003" s="44"/>
      <c r="I1003" s="44"/>
      <c r="J1003" s="45"/>
      <c r="K1003" s="51">
        <v>13001000</v>
      </c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</row>
    <row r="1004" spans="1:26" ht="14.5">
      <c r="A1004" s="77" t="s">
        <v>99</v>
      </c>
      <c r="B1004" s="76"/>
      <c r="C1004" s="74"/>
      <c r="D1004" s="77" t="s">
        <v>745</v>
      </c>
      <c r="E1004" s="76"/>
      <c r="F1004" s="74"/>
      <c r="G1004" s="52" t="s">
        <v>50</v>
      </c>
      <c r="H1004" s="44"/>
      <c r="I1004" s="44"/>
      <c r="J1004" s="45"/>
      <c r="K1004" s="51">
        <v>13001000</v>
      </c>
      <c r="L1004" s="53" t="s">
        <v>51</v>
      </c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</row>
    <row r="1005" spans="1:26" ht="14.5">
      <c r="A1005" s="78" t="s">
        <v>52</v>
      </c>
      <c r="B1005" s="76"/>
      <c r="C1005" s="74"/>
      <c r="D1005" s="78" t="s">
        <v>53</v>
      </c>
      <c r="E1005" s="76"/>
      <c r="F1005" s="74"/>
      <c r="G1005" s="44"/>
      <c r="H1005" s="44"/>
      <c r="I1005" s="44"/>
      <c r="J1005" s="45"/>
      <c r="K1005" s="54">
        <v>13001000</v>
      </c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</row>
    <row r="1006" spans="1:26" ht="14.5">
      <c r="A1006" s="73" t="s">
        <v>850</v>
      </c>
      <c r="B1006" s="76"/>
      <c r="C1006" s="74"/>
      <c r="D1006" s="75" t="s">
        <v>851</v>
      </c>
      <c r="E1006" s="76"/>
      <c r="F1006" s="74"/>
      <c r="G1006" s="44"/>
      <c r="H1006" s="44"/>
      <c r="I1006" s="44"/>
      <c r="J1006" s="45"/>
      <c r="K1006" s="55">
        <v>11520000</v>
      </c>
      <c r="L1006" s="44"/>
      <c r="M1006" s="44"/>
      <c r="N1006" s="84" t="s">
        <v>56</v>
      </c>
      <c r="O1006" s="7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</row>
    <row r="1007" spans="1:26" ht="14.5">
      <c r="A1007" s="44"/>
      <c r="B1007" s="44"/>
      <c r="C1007" s="44"/>
      <c r="D1007" s="73" t="s">
        <v>57</v>
      </c>
      <c r="E1007" s="76"/>
      <c r="F1007" s="7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</row>
    <row r="1008" spans="1:26" ht="14.5">
      <c r="A1008" s="44"/>
      <c r="B1008" s="44"/>
      <c r="C1008" s="44"/>
      <c r="D1008" s="56" t="s">
        <v>58</v>
      </c>
      <c r="E1008" s="73" t="s">
        <v>909</v>
      </c>
      <c r="F1008" s="74"/>
      <c r="G1008" s="57" t="s">
        <v>248</v>
      </c>
      <c r="H1008" s="88">
        <v>300000</v>
      </c>
      <c r="I1008" s="74"/>
      <c r="J1008" s="45"/>
      <c r="K1008" s="55">
        <v>3600000</v>
      </c>
      <c r="L1008" s="44"/>
      <c r="M1008" s="44"/>
      <c r="N1008" s="85"/>
      <c r="O1008" s="7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  <c r="Z1008" s="44"/>
    </row>
    <row r="1009" spans="1:26" ht="14.5">
      <c r="A1009" s="44"/>
      <c r="B1009" s="44"/>
      <c r="C1009" s="44"/>
      <c r="D1009" s="56" t="s">
        <v>58</v>
      </c>
      <c r="E1009" s="73" t="s">
        <v>910</v>
      </c>
      <c r="F1009" s="74"/>
      <c r="G1009" s="57" t="s">
        <v>248</v>
      </c>
      <c r="H1009" s="88">
        <v>240000</v>
      </c>
      <c r="I1009" s="74"/>
      <c r="J1009" s="45"/>
      <c r="K1009" s="55">
        <v>2880000</v>
      </c>
      <c r="L1009" s="44"/>
      <c r="M1009" s="44"/>
      <c r="N1009" s="85"/>
      <c r="O1009" s="7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</row>
    <row r="1010" spans="1:26" ht="14.5">
      <c r="A1010" s="44"/>
      <c r="B1010" s="44"/>
      <c r="C1010" s="44"/>
      <c r="D1010" s="56" t="s">
        <v>58</v>
      </c>
      <c r="E1010" s="73" t="s">
        <v>911</v>
      </c>
      <c r="F1010" s="74"/>
      <c r="G1010" s="57" t="s">
        <v>912</v>
      </c>
      <c r="H1010" s="88">
        <v>210000</v>
      </c>
      <c r="I1010" s="74"/>
      <c r="J1010" s="45"/>
      <c r="K1010" s="55">
        <v>5040000</v>
      </c>
      <c r="L1010" s="44"/>
      <c r="M1010" s="44"/>
      <c r="N1010" s="85"/>
      <c r="O1010" s="7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</row>
    <row r="1011" spans="1:26" ht="14.5">
      <c r="A1011" s="73" t="s">
        <v>596</v>
      </c>
      <c r="B1011" s="76"/>
      <c r="C1011" s="74"/>
      <c r="D1011" s="75" t="s">
        <v>597</v>
      </c>
      <c r="E1011" s="76"/>
      <c r="F1011" s="74"/>
      <c r="G1011" s="44"/>
      <c r="H1011" s="44"/>
      <c r="I1011" s="44"/>
      <c r="J1011" s="45"/>
      <c r="K1011" s="55">
        <v>1481000</v>
      </c>
      <c r="L1011" s="44"/>
      <c r="M1011" s="44"/>
      <c r="N1011" s="84" t="s">
        <v>56</v>
      </c>
      <c r="O1011" s="7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</row>
    <row r="1012" spans="1:26" ht="14.5">
      <c r="A1012" s="44"/>
      <c r="B1012" s="44"/>
      <c r="C1012" s="44"/>
      <c r="D1012" s="73" t="s">
        <v>57</v>
      </c>
      <c r="E1012" s="76"/>
      <c r="F1012" s="74"/>
      <c r="G1012" s="44"/>
      <c r="H1012" s="44"/>
      <c r="I1012" s="44"/>
      <c r="J1012" s="44"/>
      <c r="K1012" s="44"/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</row>
    <row r="1013" spans="1:26" ht="14.5">
      <c r="A1013" s="44"/>
      <c r="B1013" s="44"/>
      <c r="C1013" s="44"/>
      <c r="D1013" s="56" t="s">
        <v>58</v>
      </c>
      <c r="E1013" s="73" t="s">
        <v>913</v>
      </c>
      <c r="F1013" s="74"/>
      <c r="G1013" s="57" t="s">
        <v>118</v>
      </c>
      <c r="H1013" s="88">
        <v>1481000</v>
      </c>
      <c r="I1013" s="74"/>
      <c r="J1013" s="45"/>
      <c r="K1013" s="55">
        <v>1481000</v>
      </c>
      <c r="L1013" s="44"/>
      <c r="M1013" s="44"/>
      <c r="N1013" s="85"/>
      <c r="O1013" s="7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</row>
    <row r="1014" spans="1:26" ht="14.5">
      <c r="A1014" s="77" t="s">
        <v>914</v>
      </c>
      <c r="B1014" s="76"/>
      <c r="C1014" s="74"/>
      <c r="D1014" s="77" t="s">
        <v>25</v>
      </c>
      <c r="E1014" s="76"/>
      <c r="F1014" s="74"/>
      <c r="G1014" s="50" t="s">
        <v>908</v>
      </c>
      <c r="H1014" s="44"/>
      <c r="I1014" s="44"/>
      <c r="J1014" s="45"/>
      <c r="K1014" s="51">
        <v>2381000</v>
      </c>
      <c r="L1014" s="44"/>
      <c r="M1014" s="4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</row>
    <row r="1015" spans="1:26" ht="14.5">
      <c r="A1015" s="77" t="s">
        <v>99</v>
      </c>
      <c r="B1015" s="76"/>
      <c r="C1015" s="74"/>
      <c r="D1015" s="77" t="s">
        <v>745</v>
      </c>
      <c r="E1015" s="76"/>
      <c r="F1015" s="74"/>
      <c r="G1015" s="52" t="s">
        <v>50</v>
      </c>
      <c r="H1015" s="44"/>
      <c r="I1015" s="44"/>
      <c r="J1015" s="45"/>
      <c r="K1015" s="51">
        <v>2381000</v>
      </c>
      <c r="L1015" s="53" t="s">
        <v>51</v>
      </c>
      <c r="M1015" s="4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</row>
    <row r="1016" spans="1:26" ht="14.5">
      <c r="A1016" s="78" t="s">
        <v>52</v>
      </c>
      <c r="B1016" s="76"/>
      <c r="C1016" s="74"/>
      <c r="D1016" s="78" t="s">
        <v>53</v>
      </c>
      <c r="E1016" s="76"/>
      <c r="F1016" s="74"/>
      <c r="G1016" s="44"/>
      <c r="H1016" s="44"/>
      <c r="I1016" s="44"/>
      <c r="J1016" s="45"/>
      <c r="K1016" s="54">
        <v>2381000</v>
      </c>
      <c r="L1016" s="44"/>
      <c r="M1016" s="4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</row>
    <row r="1017" spans="1:26" ht="14.5">
      <c r="A1017" s="73" t="s">
        <v>75</v>
      </c>
      <c r="B1017" s="76"/>
      <c r="C1017" s="74"/>
      <c r="D1017" s="75" t="s">
        <v>76</v>
      </c>
      <c r="E1017" s="76"/>
      <c r="F1017" s="74"/>
      <c r="G1017" s="44"/>
      <c r="H1017" s="44"/>
      <c r="I1017" s="44"/>
      <c r="J1017" s="45"/>
      <c r="K1017" s="55">
        <v>900000</v>
      </c>
      <c r="L1017" s="44"/>
      <c r="M1017" s="44"/>
      <c r="N1017" s="84" t="s">
        <v>56</v>
      </c>
      <c r="O1017" s="7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</row>
    <row r="1018" spans="1:26" ht="14.5">
      <c r="A1018" s="44"/>
      <c r="B1018" s="44"/>
      <c r="C1018" s="44"/>
      <c r="D1018" s="73" t="s">
        <v>57</v>
      </c>
      <c r="E1018" s="76"/>
      <c r="F1018" s="74"/>
      <c r="G1018" s="44"/>
      <c r="H1018" s="44"/>
      <c r="I1018" s="44"/>
      <c r="J1018" s="44"/>
      <c r="K1018" s="44"/>
      <c r="L1018" s="44"/>
      <c r="M1018" s="4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</row>
    <row r="1019" spans="1:26" ht="14.5">
      <c r="A1019" s="44"/>
      <c r="B1019" s="44"/>
      <c r="C1019" s="44"/>
      <c r="D1019" s="56" t="s">
        <v>58</v>
      </c>
      <c r="E1019" s="73" t="s">
        <v>915</v>
      </c>
      <c r="F1019" s="74"/>
      <c r="G1019" s="57" t="s">
        <v>78</v>
      </c>
      <c r="H1019" s="88">
        <v>900000</v>
      </c>
      <c r="I1019" s="74"/>
      <c r="J1019" s="45"/>
      <c r="K1019" s="55">
        <v>900000</v>
      </c>
      <c r="L1019" s="44"/>
      <c r="M1019" s="44"/>
      <c r="N1019" s="85"/>
      <c r="O1019" s="7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</row>
    <row r="1020" spans="1:26" ht="14.5">
      <c r="A1020" s="73" t="s">
        <v>596</v>
      </c>
      <c r="B1020" s="76"/>
      <c r="C1020" s="74"/>
      <c r="D1020" s="75" t="s">
        <v>597</v>
      </c>
      <c r="E1020" s="76"/>
      <c r="F1020" s="74"/>
      <c r="G1020" s="44"/>
      <c r="H1020" s="44"/>
      <c r="I1020" s="44"/>
      <c r="J1020" s="45"/>
      <c r="K1020" s="55">
        <v>1481000</v>
      </c>
      <c r="L1020" s="44"/>
      <c r="M1020" s="44"/>
      <c r="N1020" s="84" t="s">
        <v>56</v>
      </c>
      <c r="O1020" s="74"/>
      <c r="P1020" s="44"/>
      <c r="Q1020" s="44"/>
      <c r="R1020" s="44"/>
      <c r="S1020" s="44"/>
      <c r="T1020" s="44"/>
      <c r="U1020" s="44"/>
      <c r="V1020" s="44"/>
      <c r="W1020" s="44"/>
      <c r="X1020" s="44"/>
      <c r="Y1020" s="44"/>
      <c r="Z1020" s="44"/>
    </row>
    <row r="1021" spans="1:26" ht="14.5">
      <c r="A1021" s="44"/>
      <c r="B1021" s="44"/>
      <c r="C1021" s="44"/>
      <c r="D1021" s="73" t="s">
        <v>57</v>
      </c>
      <c r="E1021" s="76"/>
      <c r="F1021" s="74"/>
      <c r="G1021" s="44"/>
      <c r="H1021" s="44"/>
      <c r="I1021" s="44"/>
      <c r="J1021" s="44"/>
      <c r="K1021" s="44"/>
      <c r="L1021" s="44"/>
      <c r="M1021" s="44"/>
      <c r="N1021" s="44"/>
      <c r="O1021" s="44"/>
      <c r="P1021" s="44"/>
      <c r="Q1021" s="44"/>
      <c r="R1021" s="44"/>
      <c r="S1021" s="44"/>
      <c r="T1021" s="44"/>
      <c r="U1021" s="44"/>
      <c r="V1021" s="44"/>
      <c r="W1021" s="44"/>
      <c r="X1021" s="44"/>
      <c r="Y1021" s="44"/>
      <c r="Z1021" s="44"/>
    </row>
    <row r="1022" spans="1:26" ht="14.5">
      <c r="A1022" s="44"/>
      <c r="B1022" s="44"/>
      <c r="C1022" s="44"/>
      <c r="D1022" s="56" t="s">
        <v>58</v>
      </c>
      <c r="E1022" s="73" t="s">
        <v>915</v>
      </c>
      <c r="F1022" s="74"/>
      <c r="G1022" s="57" t="s">
        <v>118</v>
      </c>
      <c r="H1022" s="88">
        <v>1481000</v>
      </c>
      <c r="I1022" s="74"/>
      <c r="J1022" s="45"/>
      <c r="K1022" s="55">
        <v>1481000</v>
      </c>
      <c r="L1022" s="44"/>
      <c r="M1022" s="44"/>
      <c r="N1022" s="85"/>
      <c r="O1022" s="74"/>
      <c r="P1022" s="44"/>
      <c r="Q1022" s="44"/>
      <c r="R1022" s="44"/>
      <c r="S1022" s="44"/>
      <c r="T1022" s="44"/>
      <c r="U1022" s="44"/>
      <c r="V1022" s="44"/>
      <c r="W1022" s="44"/>
      <c r="X1022" s="44"/>
      <c r="Y1022" s="44"/>
      <c r="Z1022" s="44"/>
    </row>
    <row r="1023" spans="1:26" ht="14.5">
      <c r="A1023" s="29"/>
      <c r="B1023" s="29"/>
      <c r="C1023" s="29"/>
      <c r="D1023" s="29"/>
      <c r="E1023" s="29"/>
      <c r="F1023" s="29"/>
      <c r="G1023" s="29"/>
      <c r="H1023" s="29"/>
      <c r="I1023" s="91" t="s">
        <v>916</v>
      </c>
      <c r="J1023" s="60"/>
      <c r="K1023" s="60"/>
      <c r="L1023" s="60"/>
      <c r="M1023" s="60"/>
      <c r="N1023" s="60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</row>
    <row r="1024" spans="1:26" ht="17.5">
      <c r="A1024" s="29"/>
      <c r="B1024" s="35" t="s">
        <v>917</v>
      </c>
      <c r="C1024" s="68" t="s">
        <v>918</v>
      </c>
      <c r="D1024" s="60"/>
      <c r="E1024" s="60"/>
      <c r="F1024" s="29"/>
      <c r="G1024" s="29"/>
      <c r="H1024" s="29"/>
      <c r="I1024" s="58"/>
      <c r="J1024" s="58"/>
      <c r="K1024" s="58"/>
      <c r="L1024" s="58"/>
      <c r="M1024" s="58"/>
      <c r="N1024" s="58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</row>
    <row r="1025" spans="1:26" ht="14.5">
      <c r="A1025" s="29"/>
      <c r="B1025" s="29"/>
      <c r="C1025" s="68" t="s">
        <v>919</v>
      </c>
      <c r="D1025" s="60"/>
      <c r="E1025" s="60"/>
      <c r="F1025" s="29"/>
      <c r="G1025" s="29"/>
      <c r="H1025" s="29"/>
      <c r="I1025" s="89"/>
      <c r="J1025" s="60"/>
      <c r="K1025" s="60"/>
      <c r="L1025" s="60"/>
      <c r="M1025" s="60"/>
      <c r="N1025" s="60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</row>
    <row r="1026" spans="1:26" ht="14.5">
      <c r="A1026" s="29"/>
      <c r="B1026" s="29"/>
      <c r="C1026" s="68" t="s">
        <v>920</v>
      </c>
      <c r="D1026" s="60"/>
      <c r="E1026" s="60"/>
      <c r="F1026" s="29"/>
      <c r="G1026" s="29"/>
      <c r="H1026" s="29"/>
      <c r="I1026" s="89"/>
      <c r="J1026" s="60"/>
      <c r="K1026" s="60"/>
      <c r="L1026" s="60"/>
      <c r="M1026" s="60"/>
      <c r="N1026" s="60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</row>
    <row r="1027" spans="1:26" ht="14.5">
      <c r="A1027" s="29"/>
      <c r="B1027" s="29"/>
      <c r="C1027" s="29"/>
      <c r="D1027" s="29"/>
      <c r="E1027" s="29"/>
      <c r="F1027" s="29"/>
      <c r="G1027" s="29"/>
      <c r="H1027" s="29"/>
      <c r="I1027" s="90" t="s">
        <v>921</v>
      </c>
      <c r="J1027" s="60"/>
      <c r="K1027" s="60"/>
      <c r="L1027" s="60"/>
      <c r="M1027" s="60"/>
      <c r="N1027" s="60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</row>
    <row r="1028" spans="1:26" ht="14.5">
      <c r="A1028" s="29"/>
      <c r="B1028" s="29"/>
      <c r="C1028" s="29"/>
      <c r="D1028" s="29"/>
      <c r="E1028" s="29"/>
      <c r="F1028" s="29"/>
      <c r="G1028" s="29"/>
      <c r="H1028" s="29"/>
      <c r="I1028" s="91" t="s">
        <v>922</v>
      </c>
      <c r="J1028" s="60"/>
      <c r="K1028" s="60"/>
      <c r="L1028" s="60"/>
      <c r="M1028" s="60"/>
      <c r="N1028" s="60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</row>
  </sheetData>
  <mergeCells count="2507">
    <mergeCell ref="L919:M919"/>
    <mergeCell ref="L920:M920"/>
    <mergeCell ref="L921:M921"/>
    <mergeCell ref="L922:M922"/>
    <mergeCell ref="L924:M924"/>
    <mergeCell ref="L925:M925"/>
    <mergeCell ref="L927:M927"/>
    <mergeCell ref="L928:M928"/>
    <mergeCell ref="L929:M929"/>
    <mergeCell ref="L930:M930"/>
    <mergeCell ref="L932:M932"/>
    <mergeCell ref="L933:M933"/>
    <mergeCell ref="L935:M935"/>
    <mergeCell ref="L936:M936"/>
    <mergeCell ref="L938:M938"/>
    <mergeCell ref="L941:M941"/>
    <mergeCell ref="L943:M943"/>
    <mergeCell ref="L897:M897"/>
    <mergeCell ref="L899:M899"/>
    <mergeCell ref="L900:M900"/>
    <mergeCell ref="L901:M901"/>
    <mergeCell ref="L902:M902"/>
    <mergeCell ref="L904:M904"/>
    <mergeCell ref="L905:M905"/>
    <mergeCell ref="L906:M906"/>
    <mergeCell ref="L907:M907"/>
    <mergeCell ref="L909:M909"/>
    <mergeCell ref="L910:M910"/>
    <mergeCell ref="L911:M911"/>
    <mergeCell ref="L912:M912"/>
    <mergeCell ref="L914:M914"/>
    <mergeCell ref="L915:M915"/>
    <mergeCell ref="L916:M916"/>
    <mergeCell ref="L917:M917"/>
    <mergeCell ref="L961:M961"/>
    <mergeCell ref="L962:M962"/>
    <mergeCell ref="L964:M964"/>
    <mergeCell ref="L965:M965"/>
    <mergeCell ref="L966:M966"/>
    <mergeCell ref="L968:M968"/>
    <mergeCell ref="L969:M969"/>
    <mergeCell ref="L971:M971"/>
    <mergeCell ref="L972:M972"/>
    <mergeCell ref="L974:M974"/>
    <mergeCell ref="L975:M975"/>
    <mergeCell ref="L977:M977"/>
    <mergeCell ref="L978:M978"/>
    <mergeCell ref="I1025:N1025"/>
    <mergeCell ref="I1026:N1026"/>
    <mergeCell ref="I1027:N1027"/>
    <mergeCell ref="I1028:N1028"/>
    <mergeCell ref="L980:M980"/>
    <mergeCell ref="L981:M981"/>
    <mergeCell ref="L983:M983"/>
    <mergeCell ref="L984:M984"/>
    <mergeCell ref="L986:M986"/>
    <mergeCell ref="L987:M987"/>
    <mergeCell ref="I1023:N1023"/>
    <mergeCell ref="L875:M875"/>
    <mergeCell ref="L877:M877"/>
    <mergeCell ref="L944:M944"/>
    <mergeCell ref="L945:M945"/>
    <mergeCell ref="L946:M946"/>
    <mergeCell ref="L947:M947"/>
    <mergeCell ref="L948:M948"/>
    <mergeCell ref="L949:M949"/>
    <mergeCell ref="L951:M951"/>
    <mergeCell ref="L952:M952"/>
    <mergeCell ref="L953:M953"/>
    <mergeCell ref="L954:M954"/>
    <mergeCell ref="L955:M955"/>
    <mergeCell ref="L956:M956"/>
    <mergeCell ref="L957:M957"/>
    <mergeCell ref="L959:M959"/>
    <mergeCell ref="L960:M960"/>
    <mergeCell ref="L878:M878"/>
    <mergeCell ref="L879:M879"/>
    <mergeCell ref="L880:M880"/>
    <mergeCell ref="L882:M882"/>
    <mergeCell ref="L883:M883"/>
    <mergeCell ref="L884:M884"/>
    <mergeCell ref="L885:M885"/>
    <mergeCell ref="L886:M886"/>
    <mergeCell ref="L888:M888"/>
    <mergeCell ref="L889:M889"/>
    <mergeCell ref="L891:M891"/>
    <mergeCell ref="L892:M892"/>
    <mergeCell ref="L894:M894"/>
    <mergeCell ref="L895:M895"/>
    <mergeCell ref="L896:M896"/>
    <mergeCell ref="L854:M854"/>
    <mergeCell ref="L855:M855"/>
    <mergeCell ref="L857:M857"/>
    <mergeCell ref="L858:M858"/>
    <mergeCell ref="L859:M859"/>
    <mergeCell ref="L860:M860"/>
    <mergeCell ref="L862:M862"/>
    <mergeCell ref="L863:M863"/>
    <mergeCell ref="L864:M864"/>
    <mergeCell ref="L865:M865"/>
    <mergeCell ref="L867:M867"/>
    <mergeCell ref="L868:M868"/>
    <mergeCell ref="L869:M869"/>
    <mergeCell ref="L870:M870"/>
    <mergeCell ref="L872:M872"/>
    <mergeCell ref="L873:M873"/>
    <mergeCell ref="L874:M874"/>
    <mergeCell ref="L816:M816"/>
    <mergeCell ref="L817:M817"/>
    <mergeCell ref="L819:M819"/>
    <mergeCell ref="L820:M820"/>
    <mergeCell ref="L823:M823"/>
    <mergeCell ref="L825:M825"/>
    <mergeCell ref="L826:M826"/>
    <mergeCell ref="L827:M827"/>
    <mergeCell ref="L828:M828"/>
    <mergeCell ref="L830:M830"/>
    <mergeCell ref="L838:M838"/>
    <mergeCell ref="L840:M840"/>
    <mergeCell ref="L844:M844"/>
    <mergeCell ref="L846:M846"/>
    <mergeCell ref="L850:M850"/>
    <mergeCell ref="L852:M852"/>
    <mergeCell ref="L853:M853"/>
    <mergeCell ref="E658:F658"/>
    <mergeCell ref="D659:F659"/>
    <mergeCell ref="D660:F660"/>
    <mergeCell ref="D661:F661"/>
    <mergeCell ref="L800:M800"/>
    <mergeCell ref="L802:M802"/>
    <mergeCell ref="L803:M803"/>
    <mergeCell ref="L804:M804"/>
    <mergeCell ref="L805:M805"/>
    <mergeCell ref="L806:M806"/>
    <mergeCell ref="L807:M807"/>
    <mergeCell ref="L808:M808"/>
    <mergeCell ref="L810:M810"/>
    <mergeCell ref="L811:M811"/>
    <mergeCell ref="L812:M812"/>
    <mergeCell ref="L814:M814"/>
    <mergeCell ref="L815:M815"/>
    <mergeCell ref="D641:F641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50:F650"/>
    <mergeCell ref="D651:F651"/>
    <mergeCell ref="D652:F652"/>
    <mergeCell ref="E653:F653"/>
    <mergeCell ref="E654:F654"/>
    <mergeCell ref="E655:F655"/>
    <mergeCell ref="E656:F656"/>
    <mergeCell ref="E657:F657"/>
    <mergeCell ref="D624:F624"/>
    <mergeCell ref="E625:F625"/>
    <mergeCell ref="D626:F626"/>
    <mergeCell ref="D627:F627"/>
    <mergeCell ref="D628:F628"/>
    <mergeCell ref="D629:F629"/>
    <mergeCell ref="E630:F630"/>
    <mergeCell ref="D631:F631"/>
    <mergeCell ref="D632:F632"/>
    <mergeCell ref="E633:F633"/>
    <mergeCell ref="D634:F634"/>
    <mergeCell ref="D635:F635"/>
    <mergeCell ref="D636:F636"/>
    <mergeCell ref="D637:F637"/>
    <mergeCell ref="D638:F638"/>
    <mergeCell ref="D639:F639"/>
    <mergeCell ref="D640:F6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D549:F549"/>
    <mergeCell ref="D550:F550"/>
    <mergeCell ref="E551:F551"/>
    <mergeCell ref="E552:F552"/>
    <mergeCell ref="D669:F669"/>
    <mergeCell ref="D670:F670"/>
    <mergeCell ref="D662:F662"/>
    <mergeCell ref="E663:F663"/>
    <mergeCell ref="E664:F664"/>
    <mergeCell ref="E665:F665"/>
    <mergeCell ref="D666:F666"/>
    <mergeCell ref="D667:F667"/>
    <mergeCell ref="E668:F668"/>
    <mergeCell ref="D613:F613"/>
    <mergeCell ref="D614:F614"/>
    <mergeCell ref="E615:F615"/>
    <mergeCell ref="E616:F616"/>
    <mergeCell ref="D617:F617"/>
    <mergeCell ref="D618:F618"/>
    <mergeCell ref="E619:F619"/>
    <mergeCell ref="E620:F620"/>
    <mergeCell ref="D621:F621"/>
    <mergeCell ref="D622:F622"/>
    <mergeCell ref="D623:F623"/>
    <mergeCell ref="D524:F524"/>
    <mergeCell ref="D525:F525"/>
    <mergeCell ref="E526:F526"/>
    <mergeCell ref="E527:F527"/>
    <mergeCell ref="E528:F528"/>
    <mergeCell ref="E529:F529"/>
    <mergeCell ref="D530:F530"/>
    <mergeCell ref="D531:F531"/>
    <mergeCell ref="E532:F532"/>
    <mergeCell ref="E533:F533"/>
    <mergeCell ref="D534:F534"/>
    <mergeCell ref="D535:F535"/>
    <mergeCell ref="E536:F536"/>
    <mergeCell ref="E537:F537"/>
    <mergeCell ref="E538:F538"/>
    <mergeCell ref="E539:F539"/>
    <mergeCell ref="E540:F540"/>
    <mergeCell ref="H293:I293"/>
    <mergeCell ref="H294:I294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9:I309"/>
    <mergeCell ref="H310:I310"/>
    <mergeCell ref="H313:I313"/>
    <mergeCell ref="H314:I314"/>
    <mergeCell ref="H317:I317"/>
    <mergeCell ref="H318:I318"/>
    <mergeCell ref="D560:F560"/>
    <mergeCell ref="D553:F553"/>
    <mergeCell ref="D554:F554"/>
    <mergeCell ref="E555:F555"/>
    <mergeCell ref="E556:F556"/>
    <mergeCell ref="D557:F557"/>
    <mergeCell ref="D558:F558"/>
    <mergeCell ref="D559:F559"/>
    <mergeCell ref="E504:F504"/>
    <mergeCell ref="E505:F505"/>
    <mergeCell ref="E506:F506"/>
    <mergeCell ref="E507:F507"/>
    <mergeCell ref="E508:F508"/>
    <mergeCell ref="D509:F509"/>
    <mergeCell ref="D510:F510"/>
    <mergeCell ref="E511:F511"/>
    <mergeCell ref="H258:I258"/>
    <mergeCell ref="H261:I261"/>
    <mergeCell ref="H264:I264"/>
    <mergeCell ref="H265:I265"/>
    <mergeCell ref="H268:I268"/>
    <mergeCell ref="H269:I269"/>
    <mergeCell ref="H274:I274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E286:F286"/>
    <mergeCell ref="E287:F287"/>
    <mergeCell ref="E288:F288"/>
    <mergeCell ref="E289:F289"/>
    <mergeCell ref="E290:F290"/>
    <mergeCell ref="E291:F291"/>
    <mergeCell ref="E292:F292"/>
    <mergeCell ref="D334:F334"/>
    <mergeCell ref="D335:F335"/>
    <mergeCell ref="D327:F327"/>
    <mergeCell ref="E328:F328"/>
    <mergeCell ref="D329:F329"/>
    <mergeCell ref="D330:F330"/>
    <mergeCell ref="E331:F331"/>
    <mergeCell ref="E332:F332"/>
    <mergeCell ref="D333:F333"/>
    <mergeCell ref="H218:I218"/>
    <mergeCell ref="H223:I223"/>
    <mergeCell ref="H224:I224"/>
    <mergeCell ref="H227:I227"/>
    <mergeCell ref="H228:I228"/>
    <mergeCell ref="H229:I229"/>
    <mergeCell ref="H230:I230"/>
    <mergeCell ref="H231:I231"/>
    <mergeCell ref="H234:I234"/>
    <mergeCell ref="H237:I237"/>
    <mergeCell ref="H238:I238"/>
    <mergeCell ref="H241:I241"/>
    <mergeCell ref="H242:I242"/>
    <mergeCell ref="H243:I243"/>
    <mergeCell ref="H252:I252"/>
    <mergeCell ref="H253:I253"/>
    <mergeCell ref="D240:F240"/>
    <mergeCell ref="E241:F241"/>
    <mergeCell ref="E242:F242"/>
    <mergeCell ref="E243:F243"/>
    <mergeCell ref="A244:C244"/>
    <mergeCell ref="D244:F244"/>
    <mergeCell ref="D245:F245"/>
    <mergeCell ref="E246:F246"/>
    <mergeCell ref="E247:F247"/>
    <mergeCell ref="E248:F248"/>
    <mergeCell ref="E249:F249"/>
    <mergeCell ref="A250:C250"/>
    <mergeCell ref="D250:F250"/>
    <mergeCell ref="D251:F251"/>
    <mergeCell ref="E252:F252"/>
    <mergeCell ref="E253:F253"/>
    <mergeCell ref="A271:C271"/>
    <mergeCell ref="D225:F225"/>
    <mergeCell ref="D226:F226"/>
    <mergeCell ref="E227:F227"/>
    <mergeCell ref="E228:F228"/>
    <mergeCell ref="E229:F229"/>
    <mergeCell ref="E230:F230"/>
    <mergeCell ref="E231:F231"/>
    <mergeCell ref="A232:C232"/>
    <mergeCell ref="D232:F232"/>
    <mergeCell ref="D233:F233"/>
    <mergeCell ref="E234:F234"/>
    <mergeCell ref="A235:C235"/>
    <mergeCell ref="D235:F235"/>
    <mergeCell ref="D236:F236"/>
    <mergeCell ref="E237:F237"/>
    <mergeCell ref="E238:F238"/>
    <mergeCell ref="A239:C239"/>
    <mergeCell ref="D239:F239"/>
    <mergeCell ref="A270:C270"/>
    <mergeCell ref="D270:F270"/>
    <mergeCell ref="D271:F271"/>
    <mergeCell ref="D272:F272"/>
    <mergeCell ref="D273:F273"/>
    <mergeCell ref="E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E283:F283"/>
    <mergeCell ref="E284:F284"/>
    <mergeCell ref="E285:F285"/>
    <mergeCell ref="A272:C272"/>
    <mergeCell ref="A275:C275"/>
    <mergeCell ref="A276:C276"/>
    <mergeCell ref="A278:C278"/>
    <mergeCell ref="A279:C279"/>
    <mergeCell ref="A280:C280"/>
    <mergeCell ref="A281:C281"/>
    <mergeCell ref="A221:C221"/>
    <mergeCell ref="D221:F221"/>
    <mergeCell ref="D222:F222"/>
    <mergeCell ref="E223:F223"/>
    <mergeCell ref="E224:F224"/>
    <mergeCell ref="H246:I246"/>
    <mergeCell ref="H247:I247"/>
    <mergeCell ref="H248:I248"/>
    <mergeCell ref="H249:I249"/>
    <mergeCell ref="D266:F266"/>
    <mergeCell ref="D267:F267"/>
    <mergeCell ref="E268:F268"/>
    <mergeCell ref="E269:F269"/>
    <mergeCell ref="D259:F259"/>
    <mergeCell ref="D260:F260"/>
    <mergeCell ref="E261:F261"/>
    <mergeCell ref="D262:F262"/>
    <mergeCell ref="D263:F263"/>
    <mergeCell ref="E264:F264"/>
    <mergeCell ref="E265:F265"/>
    <mergeCell ref="A254:C254"/>
    <mergeCell ref="D254:F254"/>
    <mergeCell ref="A255:C255"/>
    <mergeCell ref="D255:F255"/>
    <mergeCell ref="D256:F256"/>
    <mergeCell ref="D257:F257"/>
    <mergeCell ref="E258:F258"/>
    <mergeCell ref="A256:C256"/>
    <mergeCell ref="A259:C259"/>
    <mergeCell ref="A262:C262"/>
    <mergeCell ref="A266:C266"/>
    <mergeCell ref="A225:C225"/>
    <mergeCell ref="E214:F214"/>
    <mergeCell ref="A215:C215"/>
    <mergeCell ref="D215:F215"/>
    <mergeCell ref="D216:F216"/>
    <mergeCell ref="E217:F217"/>
    <mergeCell ref="E218:F218"/>
    <mergeCell ref="A219:C219"/>
    <mergeCell ref="D219:F219"/>
    <mergeCell ref="H203:I203"/>
    <mergeCell ref="H204:I204"/>
    <mergeCell ref="H207:I207"/>
    <mergeCell ref="H208:I208"/>
    <mergeCell ref="H213:I213"/>
    <mergeCell ref="H214:I214"/>
    <mergeCell ref="H217:I217"/>
    <mergeCell ref="A220:C220"/>
    <mergeCell ref="D220:F220"/>
    <mergeCell ref="H910:I910"/>
    <mergeCell ref="H911:I911"/>
    <mergeCell ref="H914:I914"/>
    <mergeCell ref="H915:I915"/>
    <mergeCell ref="H916:I916"/>
    <mergeCell ref="H919:I919"/>
    <mergeCell ref="H920:I920"/>
    <mergeCell ref="H921:I921"/>
    <mergeCell ref="H924:I924"/>
    <mergeCell ref="H927:I927"/>
    <mergeCell ref="H928:I928"/>
    <mergeCell ref="H929:I929"/>
    <mergeCell ref="E200:F200"/>
    <mergeCell ref="H200:I200"/>
    <mergeCell ref="A201:C201"/>
    <mergeCell ref="D201:F201"/>
    <mergeCell ref="D202:F202"/>
    <mergeCell ref="E203:F203"/>
    <mergeCell ref="E204:F204"/>
    <mergeCell ref="A205:C205"/>
    <mergeCell ref="D205:F205"/>
    <mergeCell ref="D206:F206"/>
    <mergeCell ref="E207:F207"/>
    <mergeCell ref="E208:F208"/>
    <mergeCell ref="A209:C209"/>
    <mergeCell ref="D209:F209"/>
    <mergeCell ref="A210:C210"/>
    <mergeCell ref="D210:F210"/>
    <mergeCell ref="A211:C211"/>
    <mergeCell ref="D211:F211"/>
    <mergeCell ref="D212:F212"/>
    <mergeCell ref="E213:F213"/>
    <mergeCell ref="H1013:I1013"/>
    <mergeCell ref="H1019:I1019"/>
    <mergeCell ref="H1022:I1022"/>
    <mergeCell ref="H990:I990"/>
    <mergeCell ref="H991:I991"/>
    <mergeCell ref="H992:I992"/>
    <mergeCell ref="H993:I993"/>
    <mergeCell ref="H994:I994"/>
    <mergeCell ref="H995:I995"/>
    <mergeCell ref="H996:I996"/>
    <mergeCell ref="H830:I830"/>
    <mergeCell ref="H840:I840"/>
    <mergeCell ref="H846:I846"/>
    <mergeCell ref="H852:I852"/>
    <mergeCell ref="H853:I853"/>
    <mergeCell ref="H854:I854"/>
    <mergeCell ref="H857:I857"/>
    <mergeCell ref="H858:I858"/>
    <mergeCell ref="H859:I859"/>
    <mergeCell ref="H862:I862"/>
    <mergeCell ref="H863:I863"/>
    <mergeCell ref="H864:I864"/>
    <mergeCell ref="H867:I867"/>
    <mergeCell ref="H868:I868"/>
    <mergeCell ref="H869:I869"/>
    <mergeCell ref="H872:I872"/>
    <mergeCell ref="H873:I873"/>
    <mergeCell ref="H874:I874"/>
    <mergeCell ref="H877:I877"/>
    <mergeCell ref="H878:I878"/>
    <mergeCell ref="H879:I879"/>
    <mergeCell ref="H882:I882"/>
    <mergeCell ref="H960:I960"/>
    <mergeCell ref="H961:I961"/>
    <mergeCell ref="H964:I964"/>
    <mergeCell ref="H965:I965"/>
    <mergeCell ref="H968:I968"/>
    <mergeCell ref="H971:I971"/>
    <mergeCell ref="H974:I974"/>
    <mergeCell ref="H977:I977"/>
    <mergeCell ref="H980:I980"/>
    <mergeCell ref="H983:I983"/>
    <mergeCell ref="H986:I986"/>
    <mergeCell ref="H987:I987"/>
    <mergeCell ref="H997:I997"/>
    <mergeCell ref="H1000:I1000"/>
    <mergeCell ref="H1008:I1008"/>
    <mergeCell ref="H1009:I1009"/>
    <mergeCell ref="H1010:I1010"/>
    <mergeCell ref="H827:I827"/>
    <mergeCell ref="H932:I932"/>
    <mergeCell ref="H935:I935"/>
    <mergeCell ref="H938:I938"/>
    <mergeCell ref="H943:I943"/>
    <mergeCell ref="H944:I944"/>
    <mergeCell ref="H945:I945"/>
    <mergeCell ref="H946:I946"/>
    <mergeCell ref="H947:I947"/>
    <mergeCell ref="H948:I948"/>
    <mergeCell ref="H951:I951"/>
    <mergeCell ref="H952:I952"/>
    <mergeCell ref="H953:I953"/>
    <mergeCell ref="H954:I954"/>
    <mergeCell ref="H955:I955"/>
    <mergeCell ref="H956:I956"/>
    <mergeCell ref="H959:I959"/>
    <mergeCell ref="H883:I883"/>
    <mergeCell ref="H884:I884"/>
    <mergeCell ref="H885:I885"/>
    <mergeCell ref="H888:I888"/>
    <mergeCell ref="H891:I891"/>
    <mergeCell ref="H894:I894"/>
    <mergeCell ref="H895:I895"/>
    <mergeCell ref="H896:I896"/>
    <mergeCell ref="H899:I899"/>
    <mergeCell ref="H900:I900"/>
    <mergeCell ref="H901:I901"/>
    <mergeCell ref="H904:I904"/>
    <mergeCell ref="H905:I905"/>
    <mergeCell ref="H906:I906"/>
    <mergeCell ref="H909:I909"/>
    <mergeCell ref="H796:I796"/>
    <mergeCell ref="H797:I797"/>
    <mergeCell ref="H802:I802"/>
    <mergeCell ref="H803:I803"/>
    <mergeCell ref="H804:I804"/>
    <mergeCell ref="H805:I805"/>
    <mergeCell ref="H806:I806"/>
    <mergeCell ref="H807:I807"/>
    <mergeCell ref="H810:I810"/>
    <mergeCell ref="H811:I811"/>
    <mergeCell ref="H814:I814"/>
    <mergeCell ref="H815:I815"/>
    <mergeCell ref="H816:I816"/>
    <mergeCell ref="H819:I819"/>
    <mergeCell ref="H820:I820"/>
    <mergeCell ref="H825:I825"/>
    <mergeCell ref="H826:I826"/>
    <mergeCell ref="H760:I760"/>
    <mergeCell ref="H763:I763"/>
    <mergeCell ref="H764:I764"/>
    <mergeCell ref="H765:I765"/>
    <mergeCell ref="H768:I768"/>
    <mergeCell ref="H773:I773"/>
    <mergeCell ref="H774:I774"/>
    <mergeCell ref="H777:I777"/>
    <mergeCell ref="H778:I778"/>
    <mergeCell ref="H781:I781"/>
    <mergeCell ref="H787:I787"/>
    <mergeCell ref="H788:I788"/>
    <mergeCell ref="H789:I789"/>
    <mergeCell ref="H790:I790"/>
    <mergeCell ref="H791:I791"/>
    <mergeCell ref="H794:I794"/>
    <mergeCell ref="H795:I795"/>
    <mergeCell ref="H735:I735"/>
    <mergeCell ref="H736:I736"/>
    <mergeCell ref="H737:I737"/>
    <mergeCell ref="H738:I738"/>
    <mergeCell ref="H739:I739"/>
    <mergeCell ref="H740:I740"/>
    <mergeCell ref="H741:I741"/>
    <mergeCell ref="H744:I744"/>
    <mergeCell ref="H745:I745"/>
    <mergeCell ref="H746:I746"/>
    <mergeCell ref="H747:I747"/>
    <mergeCell ref="H748:I748"/>
    <mergeCell ref="H749:I749"/>
    <mergeCell ref="H750:I750"/>
    <mergeCell ref="H751:I751"/>
    <mergeCell ref="H756:I756"/>
    <mergeCell ref="H757:I757"/>
    <mergeCell ref="H692:I692"/>
    <mergeCell ref="H693:I693"/>
    <mergeCell ref="H694:I694"/>
    <mergeCell ref="H697:I697"/>
    <mergeCell ref="H698:I698"/>
    <mergeCell ref="H699:I699"/>
    <mergeCell ref="H704:I704"/>
    <mergeCell ref="H705:I705"/>
    <mergeCell ref="H708:I708"/>
    <mergeCell ref="H711:I711"/>
    <mergeCell ref="H712:I712"/>
    <mergeCell ref="H713:I713"/>
    <mergeCell ref="H714:I714"/>
    <mergeCell ref="H717:I717"/>
    <mergeCell ref="H722:I722"/>
    <mergeCell ref="H725:I725"/>
    <mergeCell ref="H734:I734"/>
    <mergeCell ref="H653:I653"/>
    <mergeCell ref="H654:I654"/>
    <mergeCell ref="H655:I655"/>
    <mergeCell ref="H656:I656"/>
    <mergeCell ref="H657:I657"/>
    <mergeCell ref="H658:I658"/>
    <mergeCell ref="H663:I663"/>
    <mergeCell ref="H664:I664"/>
    <mergeCell ref="H665:I665"/>
    <mergeCell ref="H668:I668"/>
    <mergeCell ref="H671:I671"/>
    <mergeCell ref="H672:I672"/>
    <mergeCell ref="H673:I673"/>
    <mergeCell ref="H674:I674"/>
    <mergeCell ref="H675:I675"/>
    <mergeCell ref="H678:I678"/>
    <mergeCell ref="H683:I683"/>
    <mergeCell ref="H607:I607"/>
    <mergeCell ref="H615:I615"/>
    <mergeCell ref="H616:I616"/>
    <mergeCell ref="H619:I619"/>
    <mergeCell ref="H620:I620"/>
    <mergeCell ref="H625:I625"/>
    <mergeCell ref="H630:I630"/>
    <mergeCell ref="H633:I633"/>
    <mergeCell ref="H642:I642"/>
    <mergeCell ref="H643:I643"/>
    <mergeCell ref="H644:I644"/>
    <mergeCell ref="H645:I645"/>
    <mergeCell ref="H646:I646"/>
    <mergeCell ref="H647:I647"/>
    <mergeCell ref="H648:I648"/>
    <mergeCell ref="H649:I649"/>
    <mergeCell ref="H650:I650"/>
    <mergeCell ref="H551:I551"/>
    <mergeCell ref="H552:I552"/>
    <mergeCell ref="H555:I555"/>
    <mergeCell ref="H556:I556"/>
    <mergeCell ref="H561:I561"/>
    <mergeCell ref="H562:I562"/>
    <mergeCell ref="H563:I563"/>
    <mergeCell ref="H572:I572"/>
    <mergeCell ref="H577:I577"/>
    <mergeCell ref="H583:I583"/>
    <mergeCell ref="H586:I586"/>
    <mergeCell ref="H587:I587"/>
    <mergeCell ref="H592:I592"/>
    <mergeCell ref="H595:I595"/>
    <mergeCell ref="H598:I598"/>
    <mergeCell ref="H599:I599"/>
    <mergeCell ref="H604:I604"/>
    <mergeCell ref="H528:I528"/>
    <mergeCell ref="H529:I529"/>
    <mergeCell ref="H532:I532"/>
    <mergeCell ref="H533:I533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05:I505"/>
    <mergeCell ref="H506:I506"/>
    <mergeCell ref="H507:I507"/>
    <mergeCell ref="H508:I508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6:I526"/>
    <mergeCell ref="H527:I527"/>
    <mergeCell ref="H477:I477"/>
    <mergeCell ref="H478:I478"/>
    <mergeCell ref="H483:I483"/>
    <mergeCell ref="H486:I486"/>
    <mergeCell ref="H487:I487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438:I438"/>
    <mergeCell ref="H439:I439"/>
    <mergeCell ref="H440:I440"/>
    <mergeCell ref="H441:I441"/>
    <mergeCell ref="H442:I442"/>
    <mergeCell ref="H445:I445"/>
    <mergeCell ref="H446:I446"/>
    <mergeCell ref="H449:I449"/>
    <mergeCell ref="H450:I450"/>
    <mergeCell ref="H451:I451"/>
    <mergeCell ref="H452:I452"/>
    <mergeCell ref="H455:I455"/>
    <mergeCell ref="H458:I458"/>
    <mergeCell ref="H459:I459"/>
    <mergeCell ref="H464:I464"/>
    <mergeCell ref="H465:I465"/>
    <mergeCell ref="H468:I468"/>
    <mergeCell ref="H385:I385"/>
    <mergeCell ref="H386:I386"/>
    <mergeCell ref="H409:I409"/>
    <mergeCell ref="H410:I410"/>
    <mergeCell ref="H411:I411"/>
    <mergeCell ref="H420:I420"/>
    <mergeCell ref="H421:I421"/>
    <mergeCell ref="H422:I422"/>
    <mergeCell ref="H423:I423"/>
    <mergeCell ref="H424:I424"/>
    <mergeCell ref="H425:I425"/>
    <mergeCell ref="H428:I428"/>
    <mergeCell ref="H429:I429"/>
    <mergeCell ref="H430:I430"/>
    <mergeCell ref="H431:I431"/>
    <mergeCell ref="H432:I432"/>
    <mergeCell ref="H433:I433"/>
    <mergeCell ref="H400:I400"/>
    <mergeCell ref="H401:I401"/>
    <mergeCell ref="H402:I402"/>
    <mergeCell ref="H403:I403"/>
    <mergeCell ref="H404:I404"/>
    <mergeCell ref="H405:I405"/>
    <mergeCell ref="H406:I406"/>
    <mergeCell ref="H319:I319"/>
    <mergeCell ref="H322:I322"/>
    <mergeCell ref="H323:I323"/>
    <mergeCell ref="H328:I328"/>
    <mergeCell ref="H331:I331"/>
    <mergeCell ref="H332:I332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60:I360"/>
    <mergeCell ref="H361:I361"/>
    <mergeCell ref="L224:M224"/>
    <mergeCell ref="L225:M225"/>
    <mergeCell ref="L227:M227"/>
    <mergeCell ref="L228:M228"/>
    <mergeCell ref="L229:M229"/>
    <mergeCell ref="L230:M230"/>
    <mergeCell ref="L231:M231"/>
    <mergeCell ref="L232:M232"/>
    <mergeCell ref="L234:M234"/>
    <mergeCell ref="L235:M235"/>
    <mergeCell ref="H387:I387"/>
    <mergeCell ref="H388:I388"/>
    <mergeCell ref="H389:I389"/>
    <mergeCell ref="H390:I390"/>
    <mergeCell ref="H393:I393"/>
    <mergeCell ref="H398:I398"/>
    <mergeCell ref="H399:I399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7:I377"/>
    <mergeCell ref="H378:I378"/>
    <mergeCell ref="H381:I381"/>
    <mergeCell ref="H384:I384"/>
    <mergeCell ref="L197:M197"/>
    <mergeCell ref="L198:M198"/>
    <mergeCell ref="L200:M200"/>
    <mergeCell ref="L201:M201"/>
    <mergeCell ref="L203:M203"/>
    <mergeCell ref="L204:M204"/>
    <mergeCell ref="L205:M205"/>
    <mergeCell ref="L207:M207"/>
    <mergeCell ref="L208:M208"/>
    <mergeCell ref="L211:M211"/>
    <mergeCell ref="L213:M213"/>
    <mergeCell ref="L214:M214"/>
    <mergeCell ref="L215:M215"/>
    <mergeCell ref="L217:M217"/>
    <mergeCell ref="L218:M218"/>
    <mergeCell ref="L221:M221"/>
    <mergeCell ref="L223:M223"/>
    <mergeCell ref="E194:F194"/>
    <mergeCell ref="H194:I194"/>
    <mergeCell ref="A195:C195"/>
    <mergeCell ref="D195:F195"/>
    <mergeCell ref="D196:F196"/>
    <mergeCell ref="E197:F197"/>
    <mergeCell ref="H197:I197"/>
    <mergeCell ref="A198:C198"/>
    <mergeCell ref="D198:F198"/>
    <mergeCell ref="D199:F199"/>
    <mergeCell ref="L160:M160"/>
    <mergeCell ref="L161:M161"/>
    <mergeCell ref="L162:M162"/>
    <mergeCell ref="L163:M163"/>
    <mergeCell ref="L166:M166"/>
    <mergeCell ref="L168:M168"/>
    <mergeCell ref="L172:M172"/>
    <mergeCell ref="L174:M174"/>
    <mergeCell ref="L175:M175"/>
    <mergeCell ref="L176:M176"/>
    <mergeCell ref="L177:M177"/>
    <mergeCell ref="L178:M178"/>
    <mergeCell ref="L179:M179"/>
    <mergeCell ref="L180:M180"/>
    <mergeCell ref="L182:M182"/>
    <mergeCell ref="L185:M185"/>
    <mergeCell ref="L187:M187"/>
    <mergeCell ref="L188:M188"/>
    <mergeCell ref="L191:M191"/>
    <mergeCell ref="L193:M193"/>
    <mergeCell ref="L194:M194"/>
    <mergeCell ref="L195:M195"/>
    <mergeCell ref="D183:F183"/>
    <mergeCell ref="A184:C184"/>
    <mergeCell ref="D184:F184"/>
    <mergeCell ref="A185:C185"/>
    <mergeCell ref="D185:F185"/>
    <mergeCell ref="D186:F186"/>
    <mergeCell ref="E187:F187"/>
    <mergeCell ref="E188:F188"/>
    <mergeCell ref="A189:C189"/>
    <mergeCell ref="D189:F189"/>
    <mergeCell ref="A190:C190"/>
    <mergeCell ref="D190:F190"/>
    <mergeCell ref="A191:C191"/>
    <mergeCell ref="D191:F191"/>
    <mergeCell ref="D192:F192"/>
    <mergeCell ref="E193:F193"/>
    <mergeCell ref="H193:I193"/>
    <mergeCell ref="D167:F167"/>
    <mergeCell ref="E168:F168"/>
    <mergeCell ref="H168:I168"/>
    <mergeCell ref="A169:C169"/>
    <mergeCell ref="D169:F169"/>
    <mergeCell ref="A170:C170"/>
    <mergeCell ref="D170:F170"/>
    <mergeCell ref="A171:C171"/>
    <mergeCell ref="D171:F171"/>
    <mergeCell ref="A172:C172"/>
    <mergeCell ref="D172:F172"/>
    <mergeCell ref="D173:F173"/>
    <mergeCell ref="H178:I178"/>
    <mergeCell ref="H179:I179"/>
    <mergeCell ref="H182:I182"/>
    <mergeCell ref="H187:I187"/>
    <mergeCell ref="H188:I188"/>
    <mergeCell ref="E174:F174"/>
    <mergeCell ref="H174:I174"/>
    <mergeCell ref="E175:F175"/>
    <mergeCell ref="H175:I175"/>
    <mergeCell ref="E176:F176"/>
    <mergeCell ref="H176:I176"/>
    <mergeCell ref="H177:I177"/>
    <mergeCell ref="E177:F177"/>
    <mergeCell ref="E178:F178"/>
    <mergeCell ref="E179:F179"/>
    <mergeCell ref="A180:C180"/>
    <mergeCell ref="D180:F180"/>
    <mergeCell ref="D181:F181"/>
    <mergeCell ref="E182:F182"/>
    <mergeCell ref="A183:C183"/>
    <mergeCell ref="H162:I162"/>
    <mergeCell ref="H163:I163"/>
    <mergeCell ref="E158:F158"/>
    <mergeCell ref="H158:I158"/>
    <mergeCell ref="E159:F159"/>
    <mergeCell ref="H159:I159"/>
    <mergeCell ref="E160:F160"/>
    <mergeCell ref="H160:I160"/>
    <mergeCell ref="H161:I161"/>
    <mergeCell ref="E161:F161"/>
    <mergeCell ref="E162:F162"/>
    <mergeCell ref="E163:F163"/>
    <mergeCell ref="A164:C164"/>
    <mergeCell ref="D164:F164"/>
    <mergeCell ref="A165:C165"/>
    <mergeCell ref="D165:F165"/>
    <mergeCell ref="A166:C166"/>
    <mergeCell ref="D166:F166"/>
    <mergeCell ref="D141:F141"/>
    <mergeCell ref="A152:C152"/>
    <mergeCell ref="A153:C153"/>
    <mergeCell ref="L153:M153"/>
    <mergeCell ref="L155:M155"/>
    <mergeCell ref="L156:M156"/>
    <mergeCell ref="L158:M158"/>
    <mergeCell ref="L159:M159"/>
    <mergeCell ref="D148:F148"/>
    <mergeCell ref="D149:F149"/>
    <mergeCell ref="A150:C150"/>
    <mergeCell ref="D150:F150"/>
    <mergeCell ref="A151:C151"/>
    <mergeCell ref="D151:F151"/>
    <mergeCell ref="D152:F152"/>
    <mergeCell ref="D153:F153"/>
    <mergeCell ref="D154:F154"/>
    <mergeCell ref="E155:F155"/>
    <mergeCell ref="H155:I155"/>
    <mergeCell ref="A156:C156"/>
    <mergeCell ref="D156:F156"/>
    <mergeCell ref="D157:F157"/>
    <mergeCell ref="D145:F145"/>
    <mergeCell ref="E146:F146"/>
    <mergeCell ref="H146:I146"/>
    <mergeCell ref="L146:M146"/>
    <mergeCell ref="A147:C147"/>
    <mergeCell ref="D147:F147"/>
    <mergeCell ref="A148:C148"/>
    <mergeCell ref="H126:I126"/>
    <mergeCell ref="L126:M126"/>
    <mergeCell ref="L129:M129"/>
    <mergeCell ref="H131:I131"/>
    <mergeCell ref="L131:M131"/>
    <mergeCell ref="L132:M132"/>
    <mergeCell ref="A123:C123"/>
    <mergeCell ref="D123:F123"/>
    <mergeCell ref="A124:C124"/>
    <mergeCell ref="D124:F124"/>
    <mergeCell ref="L124:M124"/>
    <mergeCell ref="D125:F125"/>
    <mergeCell ref="E126:F126"/>
    <mergeCell ref="A127:C127"/>
    <mergeCell ref="D127:F127"/>
    <mergeCell ref="A128:C128"/>
    <mergeCell ref="D128:F128"/>
    <mergeCell ref="A129:C129"/>
    <mergeCell ref="D129:F129"/>
    <mergeCell ref="D130:F130"/>
    <mergeCell ref="E131:F131"/>
    <mergeCell ref="E132:F132"/>
    <mergeCell ref="H132:I132"/>
    <mergeCell ref="A133:C133"/>
    <mergeCell ref="D133:F133"/>
    <mergeCell ref="D111:F111"/>
    <mergeCell ref="A112:C112"/>
    <mergeCell ref="L112:M112"/>
    <mergeCell ref="A119:C119"/>
    <mergeCell ref="D119:F119"/>
    <mergeCell ref="D120:F120"/>
    <mergeCell ref="A121:C121"/>
    <mergeCell ref="D121:F121"/>
    <mergeCell ref="A122:C122"/>
    <mergeCell ref="D122:F122"/>
    <mergeCell ref="A142:C142"/>
    <mergeCell ref="D142:F142"/>
    <mergeCell ref="A143:C143"/>
    <mergeCell ref="D143:F143"/>
    <mergeCell ref="A144:C144"/>
    <mergeCell ref="D144:F144"/>
    <mergeCell ref="L144:M144"/>
    <mergeCell ref="A134:C134"/>
    <mergeCell ref="D134:F134"/>
    <mergeCell ref="A135:C135"/>
    <mergeCell ref="D135:F135"/>
    <mergeCell ref="L135:M135"/>
    <mergeCell ref="D136:F136"/>
    <mergeCell ref="E137:F137"/>
    <mergeCell ref="H137:I137"/>
    <mergeCell ref="L137:M137"/>
    <mergeCell ref="A138:C138"/>
    <mergeCell ref="D138:F138"/>
    <mergeCell ref="A139:C139"/>
    <mergeCell ref="D139:F139"/>
    <mergeCell ref="D140:F140"/>
    <mergeCell ref="A141:C141"/>
    <mergeCell ref="D116:F116"/>
    <mergeCell ref="E117:F117"/>
    <mergeCell ref="H117:I117"/>
    <mergeCell ref="L117:M117"/>
    <mergeCell ref="A118:C118"/>
    <mergeCell ref="D118:F118"/>
    <mergeCell ref="A95:C95"/>
    <mergeCell ref="D95:F95"/>
    <mergeCell ref="L95:M95"/>
    <mergeCell ref="D96:F96"/>
    <mergeCell ref="E97:F97"/>
    <mergeCell ref="H97:I97"/>
    <mergeCell ref="L97:M97"/>
    <mergeCell ref="A98:C98"/>
    <mergeCell ref="D98:F98"/>
    <mergeCell ref="L98:M98"/>
    <mergeCell ref="D99:F99"/>
    <mergeCell ref="E100:F100"/>
    <mergeCell ref="L100:M100"/>
    <mergeCell ref="E101:F101"/>
    <mergeCell ref="L101:M101"/>
    <mergeCell ref="H100:I100"/>
    <mergeCell ref="H101:I101"/>
    <mergeCell ref="E102:F102"/>
    <mergeCell ref="H102:I102"/>
    <mergeCell ref="L102:M102"/>
    <mergeCell ref="A103:C103"/>
    <mergeCell ref="L103:M103"/>
    <mergeCell ref="D103:F103"/>
    <mergeCell ref="D104:F104"/>
    <mergeCell ref="E105:F105"/>
    <mergeCell ref="H105:I105"/>
    <mergeCell ref="A82:C82"/>
    <mergeCell ref="D82:F82"/>
    <mergeCell ref="L82:M82"/>
    <mergeCell ref="D92:F92"/>
    <mergeCell ref="E93:F93"/>
    <mergeCell ref="H93:I93"/>
    <mergeCell ref="L93:M93"/>
    <mergeCell ref="E94:F94"/>
    <mergeCell ref="H94:I94"/>
    <mergeCell ref="L94:M94"/>
    <mergeCell ref="D112:F112"/>
    <mergeCell ref="D113:F113"/>
    <mergeCell ref="E114:F114"/>
    <mergeCell ref="H114:I114"/>
    <mergeCell ref="L114:M114"/>
    <mergeCell ref="A115:C115"/>
    <mergeCell ref="L115:M115"/>
    <mergeCell ref="D115:F115"/>
    <mergeCell ref="L105:M105"/>
    <mergeCell ref="A106:C106"/>
    <mergeCell ref="L106:M106"/>
    <mergeCell ref="D106:F106"/>
    <mergeCell ref="D107:F107"/>
    <mergeCell ref="E108:F108"/>
    <mergeCell ref="H108:I108"/>
    <mergeCell ref="L108:M108"/>
    <mergeCell ref="H109:I109"/>
    <mergeCell ref="L109:M109"/>
    <mergeCell ref="E109:F109"/>
    <mergeCell ref="A110:C110"/>
    <mergeCell ref="D110:F110"/>
    <mergeCell ref="A111:C111"/>
    <mergeCell ref="A74:C74"/>
    <mergeCell ref="D74:F74"/>
    <mergeCell ref="A75:C75"/>
    <mergeCell ref="D75:F75"/>
    <mergeCell ref="A76:C76"/>
    <mergeCell ref="D76:F76"/>
    <mergeCell ref="L76:M76"/>
    <mergeCell ref="D77:F77"/>
    <mergeCell ref="E78:F78"/>
    <mergeCell ref="H78:I78"/>
    <mergeCell ref="L78:M78"/>
    <mergeCell ref="E79:F79"/>
    <mergeCell ref="H79:I79"/>
    <mergeCell ref="L79:M79"/>
    <mergeCell ref="H80:I80"/>
    <mergeCell ref="L80:M80"/>
    <mergeCell ref="E80:F80"/>
    <mergeCell ref="E87:F87"/>
    <mergeCell ref="H87:I87"/>
    <mergeCell ref="L87:M87"/>
    <mergeCell ref="E88:F88"/>
    <mergeCell ref="H88:I88"/>
    <mergeCell ref="L88:M88"/>
    <mergeCell ref="A89:C89"/>
    <mergeCell ref="D89:F89"/>
    <mergeCell ref="A90:C90"/>
    <mergeCell ref="D90:F90"/>
    <mergeCell ref="A91:C91"/>
    <mergeCell ref="D91:F91"/>
    <mergeCell ref="L91:M91"/>
    <mergeCell ref="A65:C65"/>
    <mergeCell ref="D65:F65"/>
    <mergeCell ref="L65:M65"/>
    <mergeCell ref="D66:F66"/>
    <mergeCell ref="E67:F67"/>
    <mergeCell ref="L67:M67"/>
    <mergeCell ref="E68:F68"/>
    <mergeCell ref="L68:M68"/>
    <mergeCell ref="H67:I67"/>
    <mergeCell ref="H68:I68"/>
    <mergeCell ref="E69:F69"/>
    <mergeCell ref="H69:I69"/>
    <mergeCell ref="L69:M69"/>
    <mergeCell ref="A70:C70"/>
    <mergeCell ref="D70:F70"/>
    <mergeCell ref="A71:C71"/>
    <mergeCell ref="D71:F71"/>
    <mergeCell ref="D72:F72"/>
    <mergeCell ref="A73:C73"/>
    <mergeCell ref="E55:F55"/>
    <mergeCell ref="H55:I55"/>
    <mergeCell ref="L55:M55"/>
    <mergeCell ref="D62:F62"/>
    <mergeCell ref="E63:F63"/>
    <mergeCell ref="H63:I63"/>
    <mergeCell ref="L63:M63"/>
    <mergeCell ref="E64:F64"/>
    <mergeCell ref="H64:I64"/>
    <mergeCell ref="L64:M64"/>
    <mergeCell ref="H85:I85"/>
    <mergeCell ref="H86:I86"/>
    <mergeCell ref="D83:F83"/>
    <mergeCell ref="E84:F84"/>
    <mergeCell ref="H84:I84"/>
    <mergeCell ref="L84:M84"/>
    <mergeCell ref="E85:F85"/>
    <mergeCell ref="L85:M85"/>
    <mergeCell ref="L86:M86"/>
    <mergeCell ref="E86:F86"/>
    <mergeCell ref="D73:F73"/>
    <mergeCell ref="E81:F81"/>
    <mergeCell ref="H81:I81"/>
    <mergeCell ref="L81:M81"/>
    <mergeCell ref="A45:C45"/>
    <mergeCell ref="D45:F45"/>
    <mergeCell ref="A46:C46"/>
    <mergeCell ref="D46:F46"/>
    <mergeCell ref="A47:C47"/>
    <mergeCell ref="D47:F47"/>
    <mergeCell ref="A50:C50"/>
    <mergeCell ref="D50:F50"/>
    <mergeCell ref="L50:M50"/>
    <mergeCell ref="D51:F51"/>
    <mergeCell ref="E52:F52"/>
    <mergeCell ref="H52:I52"/>
    <mergeCell ref="L52:M52"/>
    <mergeCell ref="A53:C53"/>
    <mergeCell ref="D53:F53"/>
    <mergeCell ref="L53:M53"/>
    <mergeCell ref="D54:F54"/>
    <mergeCell ref="E40:F40"/>
    <mergeCell ref="H40:I40"/>
    <mergeCell ref="L40:M40"/>
    <mergeCell ref="A56:C56"/>
    <mergeCell ref="D56:F56"/>
    <mergeCell ref="L56:M56"/>
    <mergeCell ref="D57:F57"/>
    <mergeCell ref="E58:F58"/>
    <mergeCell ref="H58:I58"/>
    <mergeCell ref="L58:M58"/>
    <mergeCell ref="A59:C59"/>
    <mergeCell ref="D59:F59"/>
    <mergeCell ref="A60:C60"/>
    <mergeCell ref="D60:F60"/>
    <mergeCell ref="A61:C61"/>
    <mergeCell ref="D61:F61"/>
    <mergeCell ref="L61:M61"/>
    <mergeCell ref="H43:I43"/>
    <mergeCell ref="H44:I44"/>
    <mergeCell ref="L47:M47"/>
    <mergeCell ref="A41:C41"/>
    <mergeCell ref="D41:F41"/>
    <mergeCell ref="L41:M41"/>
    <mergeCell ref="D42:F42"/>
    <mergeCell ref="E43:F43"/>
    <mergeCell ref="L43:M43"/>
    <mergeCell ref="L44:M44"/>
    <mergeCell ref="D48:F48"/>
    <mergeCell ref="E49:F49"/>
    <mergeCell ref="H49:I49"/>
    <mergeCell ref="L49:M49"/>
    <mergeCell ref="E44:F44"/>
    <mergeCell ref="A31:C31"/>
    <mergeCell ref="D31:F31"/>
    <mergeCell ref="A32:C32"/>
    <mergeCell ref="D32:F32"/>
    <mergeCell ref="D33:F33"/>
    <mergeCell ref="A34:C34"/>
    <mergeCell ref="D34:F34"/>
    <mergeCell ref="A35:C35"/>
    <mergeCell ref="D35:F35"/>
    <mergeCell ref="A36:C36"/>
    <mergeCell ref="D36:F36"/>
    <mergeCell ref="A37:C37"/>
    <mergeCell ref="D37:F37"/>
    <mergeCell ref="L37:M37"/>
    <mergeCell ref="D38:F38"/>
    <mergeCell ref="E39:F39"/>
    <mergeCell ref="H39:I39"/>
    <mergeCell ref="L39:M39"/>
    <mergeCell ref="E27:F27"/>
    <mergeCell ref="H27:I27"/>
    <mergeCell ref="L27:M27"/>
    <mergeCell ref="A22:C22"/>
    <mergeCell ref="D22:F22"/>
    <mergeCell ref="A23:C23"/>
    <mergeCell ref="D23:F23"/>
    <mergeCell ref="A24:C24"/>
    <mergeCell ref="D24:F24"/>
    <mergeCell ref="A25:C25"/>
    <mergeCell ref="A28:C28"/>
    <mergeCell ref="D28:F28"/>
    <mergeCell ref="L28:M28"/>
    <mergeCell ref="D29:F29"/>
    <mergeCell ref="E30:F30"/>
    <mergeCell ref="H30:I30"/>
    <mergeCell ref="L30:M30"/>
    <mergeCell ref="A15:C15"/>
    <mergeCell ref="D15:F15"/>
    <mergeCell ref="A16:C16"/>
    <mergeCell ref="D16:F16"/>
    <mergeCell ref="A17:C17"/>
    <mergeCell ref="D17:F17"/>
    <mergeCell ref="L17:M17"/>
    <mergeCell ref="D18:F18"/>
    <mergeCell ref="E19:F19"/>
    <mergeCell ref="H19:I19"/>
    <mergeCell ref="L19:M19"/>
    <mergeCell ref="A20:C20"/>
    <mergeCell ref="D20:F20"/>
    <mergeCell ref="D21:F21"/>
    <mergeCell ref="D25:F25"/>
    <mergeCell ref="L25:M25"/>
    <mergeCell ref="D26:F26"/>
    <mergeCell ref="L792:M792"/>
    <mergeCell ref="L794:M794"/>
    <mergeCell ref="L795:M795"/>
    <mergeCell ref="L796:M796"/>
    <mergeCell ref="L797:M797"/>
    <mergeCell ref="A1:C1"/>
    <mergeCell ref="D1:F1"/>
    <mergeCell ref="A2:C2"/>
    <mergeCell ref="D2:F2"/>
    <mergeCell ref="A3:C3"/>
    <mergeCell ref="D3:F3"/>
    <mergeCell ref="D4:F4"/>
    <mergeCell ref="D8:F8"/>
    <mergeCell ref="L8:M8"/>
    <mergeCell ref="D9:F9"/>
    <mergeCell ref="E10:F10"/>
    <mergeCell ref="H10:I10"/>
    <mergeCell ref="L10:M10"/>
    <mergeCell ref="A5:C5"/>
    <mergeCell ref="D5:F5"/>
    <mergeCell ref="A6:C6"/>
    <mergeCell ref="D6:F6"/>
    <mergeCell ref="A7:C7"/>
    <mergeCell ref="D7:F7"/>
    <mergeCell ref="A8:C8"/>
    <mergeCell ref="A11:C11"/>
    <mergeCell ref="D11:F11"/>
    <mergeCell ref="A12:C12"/>
    <mergeCell ref="D12:F12"/>
    <mergeCell ref="D13:F13"/>
    <mergeCell ref="A14:C14"/>
    <mergeCell ref="D14:F14"/>
    <mergeCell ref="L765:M765"/>
    <mergeCell ref="L766:M766"/>
    <mergeCell ref="L768:M768"/>
    <mergeCell ref="L771:M771"/>
    <mergeCell ref="L773:M773"/>
    <mergeCell ref="L774:M774"/>
    <mergeCell ref="L775:M775"/>
    <mergeCell ref="L777:M777"/>
    <mergeCell ref="L778:M778"/>
    <mergeCell ref="L779:M779"/>
    <mergeCell ref="L781:M781"/>
    <mergeCell ref="L785:M785"/>
    <mergeCell ref="L787:M787"/>
    <mergeCell ref="L788:M788"/>
    <mergeCell ref="L789:M789"/>
    <mergeCell ref="L790:M790"/>
    <mergeCell ref="L791:M791"/>
    <mergeCell ref="L742:M742"/>
    <mergeCell ref="L744:M744"/>
    <mergeCell ref="L745:M745"/>
    <mergeCell ref="L746:M746"/>
    <mergeCell ref="L747:M747"/>
    <mergeCell ref="L748:M748"/>
    <mergeCell ref="L749:M749"/>
    <mergeCell ref="L750:M750"/>
    <mergeCell ref="L751:M751"/>
    <mergeCell ref="L754:M754"/>
    <mergeCell ref="L756:M756"/>
    <mergeCell ref="L757:M757"/>
    <mergeCell ref="L758:M758"/>
    <mergeCell ref="L760:M760"/>
    <mergeCell ref="L761:M761"/>
    <mergeCell ref="L763:M763"/>
    <mergeCell ref="L764:M764"/>
    <mergeCell ref="L620:M620"/>
    <mergeCell ref="L623:M623"/>
    <mergeCell ref="L625:M625"/>
    <mergeCell ref="L628:M628"/>
    <mergeCell ref="L630:M630"/>
    <mergeCell ref="L631:M631"/>
    <mergeCell ref="L633:M633"/>
    <mergeCell ref="L725:M725"/>
    <mergeCell ref="L732:M732"/>
    <mergeCell ref="L734:M734"/>
    <mergeCell ref="L735:M735"/>
    <mergeCell ref="L736:M736"/>
    <mergeCell ref="L737:M737"/>
    <mergeCell ref="L738:M738"/>
    <mergeCell ref="L739:M739"/>
    <mergeCell ref="L740:M740"/>
    <mergeCell ref="L741:M741"/>
    <mergeCell ref="L505:M505"/>
    <mergeCell ref="L506:M506"/>
    <mergeCell ref="L507:M507"/>
    <mergeCell ref="L526:M526"/>
    <mergeCell ref="L527:M527"/>
    <mergeCell ref="L528:M528"/>
    <mergeCell ref="L529:M529"/>
    <mergeCell ref="L530:M530"/>
    <mergeCell ref="L532:M532"/>
    <mergeCell ref="L533:M533"/>
    <mergeCell ref="L605:M605"/>
    <mergeCell ref="L607:M607"/>
    <mergeCell ref="L613:M613"/>
    <mergeCell ref="L615:M615"/>
    <mergeCell ref="L616:M616"/>
    <mergeCell ref="L617:M617"/>
    <mergeCell ref="L619:M619"/>
    <mergeCell ref="L515:M515"/>
    <mergeCell ref="L516:M516"/>
    <mergeCell ref="L517:M517"/>
    <mergeCell ref="L518:M518"/>
    <mergeCell ref="L519:M519"/>
    <mergeCell ref="L520:M520"/>
    <mergeCell ref="L521:M521"/>
    <mergeCell ref="L524:M524"/>
    <mergeCell ref="L443:M443"/>
    <mergeCell ref="L445:M445"/>
    <mergeCell ref="L446:M446"/>
    <mergeCell ref="L447:M447"/>
    <mergeCell ref="L449:M449"/>
    <mergeCell ref="L450:M450"/>
    <mergeCell ref="L451:M451"/>
    <mergeCell ref="L452:M452"/>
    <mergeCell ref="L453:M453"/>
    <mergeCell ref="L455:M455"/>
    <mergeCell ref="L456:M456"/>
    <mergeCell ref="L458:M458"/>
    <mergeCell ref="L459:M459"/>
    <mergeCell ref="L462:M462"/>
    <mergeCell ref="L464:M464"/>
    <mergeCell ref="L465:M465"/>
    <mergeCell ref="L466:M466"/>
    <mergeCell ref="L468:M468"/>
    <mergeCell ref="L475:M475"/>
    <mergeCell ref="L477:M477"/>
    <mergeCell ref="L478:M478"/>
    <mergeCell ref="L481:M481"/>
    <mergeCell ref="L483:M483"/>
    <mergeCell ref="L484:M484"/>
    <mergeCell ref="L429:M429"/>
    <mergeCell ref="L430:M430"/>
    <mergeCell ref="L431:M431"/>
    <mergeCell ref="L432:M432"/>
    <mergeCell ref="L433:M433"/>
    <mergeCell ref="L436:M436"/>
    <mergeCell ref="L438:M438"/>
    <mergeCell ref="L439:M439"/>
    <mergeCell ref="L440:M440"/>
    <mergeCell ref="L441:M441"/>
    <mergeCell ref="L442:M442"/>
    <mergeCell ref="L508:M508"/>
    <mergeCell ref="L509:M509"/>
    <mergeCell ref="L511:M511"/>
    <mergeCell ref="L512:M512"/>
    <mergeCell ref="L513:M513"/>
    <mergeCell ref="L514:M514"/>
    <mergeCell ref="L486:M486"/>
    <mergeCell ref="L487:M487"/>
    <mergeCell ref="L491:M491"/>
    <mergeCell ref="L493:M493"/>
    <mergeCell ref="L494:M494"/>
    <mergeCell ref="L495:M495"/>
    <mergeCell ref="L496:M496"/>
    <mergeCell ref="L497:M497"/>
    <mergeCell ref="L498:M498"/>
    <mergeCell ref="L499:M499"/>
    <mergeCell ref="L500:M500"/>
    <mergeCell ref="L501:M501"/>
    <mergeCell ref="L502:M502"/>
    <mergeCell ref="L503:M503"/>
    <mergeCell ref="L504:M504"/>
    <mergeCell ref="L403:M403"/>
    <mergeCell ref="L404:M404"/>
    <mergeCell ref="L405:M405"/>
    <mergeCell ref="L406:M406"/>
    <mergeCell ref="L407:M407"/>
    <mergeCell ref="L409:M409"/>
    <mergeCell ref="L410:M410"/>
    <mergeCell ref="L411:M411"/>
    <mergeCell ref="L418:M418"/>
    <mergeCell ref="L420:M420"/>
    <mergeCell ref="L421:M421"/>
    <mergeCell ref="L422:M422"/>
    <mergeCell ref="L423:M423"/>
    <mergeCell ref="L424:M424"/>
    <mergeCell ref="L425:M425"/>
    <mergeCell ref="L426:M426"/>
    <mergeCell ref="L428:M428"/>
    <mergeCell ref="L381:M381"/>
    <mergeCell ref="L382:M382"/>
    <mergeCell ref="L384:M384"/>
    <mergeCell ref="L385:M385"/>
    <mergeCell ref="L386:M386"/>
    <mergeCell ref="L387:M387"/>
    <mergeCell ref="L388:M388"/>
    <mergeCell ref="L389:M389"/>
    <mergeCell ref="L390:M390"/>
    <mergeCell ref="L391:M391"/>
    <mergeCell ref="L393:M393"/>
    <mergeCell ref="L396:M396"/>
    <mergeCell ref="L398:M398"/>
    <mergeCell ref="L399:M399"/>
    <mergeCell ref="L400:M400"/>
    <mergeCell ref="L401:M401"/>
    <mergeCell ref="L402:M402"/>
    <mergeCell ref="L360:M360"/>
    <mergeCell ref="L361:M361"/>
    <mergeCell ref="L362:M362"/>
    <mergeCell ref="L363:M363"/>
    <mergeCell ref="L364:M364"/>
    <mergeCell ref="L365:M365"/>
    <mergeCell ref="L366:M366"/>
    <mergeCell ref="L367:M367"/>
    <mergeCell ref="L368:M368"/>
    <mergeCell ref="L369:M369"/>
    <mergeCell ref="L370:M370"/>
    <mergeCell ref="L371:M371"/>
    <mergeCell ref="L372:M372"/>
    <mergeCell ref="L375:M375"/>
    <mergeCell ref="L377:M377"/>
    <mergeCell ref="L378:M378"/>
    <mergeCell ref="L379:M379"/>
    <mergeCell ref="L342:M342"/>
    <mergeCell ref="L343:M343"/>
    <mergeCell ref="L344:M344"/>
    <mergeCell ref="L345:M345"/>
    <mergeCell ref="L346:M346"/>
    <mergeCell ref="L347:M347"/>
    <mergeCell ref="L348:M348"/>
    <mergeCell ref="L349:M349"/>
    <mergeCell ref="L350:M350"/>
    <mergeCell ref="L351:M351"/>
    <mergeCell ref="L352:M352"/>
    <mergeCell ref="L353:M353"/>
    <mergeCell ref="L354:M354"/>
    <mergeCell ref="L355:M355"/>
    <mergeCell ref="L356:M356"/>
    <mergeCell ref="L357:M357"/>
    <mergeCell ref="L358:M358"/>
    <mergeCell ref="L311:M311"/>
    <mergeCell ref="L313:M313"/>
    <mergeCell ref="L314:M314"/>
    <mergeCell ref="L315:M315"/>
    <mergeCell ref="L317:M317"/>
    <mergeCell ref="L318:M318"/>
    <mergeCell ref="L319:M319"/>
    <mergeCell ref="L320:M320"/>
    <mergeCell ref="L322:M322"/>
    <mergeCell ref="L323:M323"/>
    <mergeCell ref="L326:M326"/>
    <mergeCell ref="L328:M328"/>
    <mergeCell ref="L329:M329"/>
    <mergeCell ref="L331:M331"/>
    <mergeCell ref="L332:M332"/>
    <mergeCell ref="L339:M339"/>
    <mergeCell ref="L341:M341"/>
    <mergeCell ref="L290:M290"/>
    <mergeCell ref="L291:M291"/>
    <mergeCell ref="L292:M292"/>
    <mergeCell ref="L293:M293"/>
    <mergeCell ref="L294:M294"/>
    <mergeCell ref="L295:M295"/>
    <mergeCell ref="L297:M297"/>
    <mergeCell ref="L298:M298"/>
    <mergeCell ref="L299:M299"/>
    <mergeCell ref="L300:M300"/>
    <mergeCell ref="L301:M301"/>
    <mergeCell ref="L302:M302"/>
    <mergeCell ref="L303:M303"/>
    <mergeCell ref="L304:M304"/>
    <mergeCell ref="L307:M307"/>
    <mergeCell ref="L309:M309"/>
    <mergeCell ref="L310:M310"/>
    <mergeCell ref="L261:M261"/>
    <mergeCell ref="L262:M262"/>
    <mergeCell ref="L264:M264"/>
    <mergeCell ref="L265:M265"/>
    <mergeCell ref="L266:M266"/>
    <mergeCell ref="L268:M268"/>
    <mergeCell ref="L269:M269"/>
    <mergeCell ref="L272:M272"/>
    <mergeCell ref="L274:M274"/>
    <mergeCell ref="L281:M281"/>
    <mergeCell ref="L283:M283"/>
    <mergeCell ref="L284:M284"/>
    <mergeCell ref="L285:M285"/>
    <mergeCell ref="L286:M286"/>
    <mergeCell ref="L287:M287"/>
    <mergeCell ref="L288:M288"/>
    <mergeCell ref="L289:M289"/>
    <mergeCell ref="L702:M702"/>
    <mergeCell ref="L704:M704"/>
    <mergeCell ref="L705:M705"/>
    <mergeCell ref="L706:M706"/>
    <mergeCell ref="L708:M708"/>
    <mergeCell ref="L709:M709"/>
    <mergeCell ref="L711:M711"/>
    <mergeCell ref="L712:M712"/>
    <mergeCell ref="L713:M713"/>
    <mergeCell ref="L714:M714"/>
    <mergeCell ref="L715:M715"/>
    <mergeCell ref="L717:M717"/>
    <mergeCell ref="L720:M720"/>
    <mergeCell ref="L722:M722"/>
    <mergeCell ref="L723:M723"/>
    <mergeCell ref="L237:M237"/>
    <mergeCell ref="L238:M238"/>
    <mergeCell ref="L239:M239"/>
    <mergeCell ref="L241:M241"/>
    <mergeCell ref="L242:M242"/>
    <mergeCell ref="L243:M243"/>
    <mergeCell ref="L244:M244"/>
    <mergeCell ref="L246:M246"/>
    <mergeCell ref="L247:M247"/>
    <mergeCell ref="L248:M248"/>
    <mergeCell ref="L249:M249"/>
    <mergeCell ref="L250:M250"/>
    <mergeCell ref="L252:M252"/>
    <mergeCell ref="L253:M253"/>
    <mergeCell ref="L256:M256"/>
    <mergeCell ref="L258:M258"/>
    <mergeCell ref="L259:M259"/>
    <mergeCell ref="N1011:O1011"/>
    <mergeCell ref="N1013:O1013"/>
    <mergeCell ref="N1017:O1017"/>
    <mergeCell ref="N1019:O1019"/>
    <mergeCell ref="N1020:O1020"/>
    <mergeCell ref="N1022:O1022"/>
    <mergeCell ref="N996:O996"/>
    <mergeCell ref="N997:O997"/>
    <mergeCell ref="N998:O998"/>
    <mergeCell ref="N1000:O1000"/>
    <mergeCell ref="N1006:O1006"/>
    <mergeCell ref="N1008:O1008"/>
    <mergeCell ref="N1009:O1009"/>
    <mergeCell ref="L648:M648"/>
    <mergeCell ref="L649:M649"/>
    <mergeCell ref="L650:M650"/>
    <mergeCell ref="L651:M651"/>
    <mergeCell ref="L653:M653"/>
    <mergeCell ref="L654:M654"/>
    <mergeCell ref="L655:M655"/>
    <mergeCell ref="L656:M656"/>
    <mergeCell ref="L657:M657"/>
    <mergeCell ref="L658:M658"/>
    <mergeCell ref="L661:M661"/>
    <mergeCell ref="L663:M663"/>
    <mergeCell ref="L664:M664"/>
    <mergeCell ref="L665:M665"/>
    <mergeCell ref="L666:M666"/>
    <mergeCell ref="L668:M668"/>
    <mergeCell ref="L669:M669"/>
    <mergeCell ref="L671:M671"/>
    <mergeCell ref="L672:M672"/>
    <mergeCell ref="L602:M602"/>
    <mergeCell ref="L604:M604"/>
    <mergeCell ref="L640:M640"/>
    <mergeCell ref="L642:M642"/>
    <mergeCell ref="L643:M643"/>
    <mergeCell ref="L644:M644"/>
    <mergeCell ref="L645:M645"/>
    <mergeCell ref="L646:M646"/>
    <mergeCell ref="L647:M647"/>
    <mergeCell ref="N988:O988"/>
    <mergeCell ref="N990:O990"/>
    <mergeCell ref="N991:O991"/>
    <mergeCell ref="N992:O992"/>
    <mergeCell ref="N993:O993"/>
    <mergeCell ref="N994:O994"/>
    <mergeCell ref="N995:O995"/>
    <mergeCell ref="N1010:O1010"/>
    <mergeCell ref="L673:M673"/>
    <mergeCell ref="L674:M674"/>
    <mergeCell ref="L675:M675"/>
    <mergeCell ref="L676:M676"/>
    <mergeCell ref="L678:M678"/>
    <mergeCell ref="L681:M681"/>
    <mergeCell ref="L683:M683"/>
    <mergeCell ref="L690:M690"/>
    <mergeCell ref="L692:M692"/>
    <mergeCell ref="L693:M693"/>
    <mergeCell ref="L694:M694"/>
    <mergeCell ref="L695:M695"/>
    <mergeCell ref="L697:M697"/>
    <mergeCell ref="L698:M698"/>
    <mergeCell ref="L699:M699"/>
    <mergeCell ref="L563:M563"/>
    <mergeCell ref="L570:M570"/>
    <mergeCell ref="L572:M572"/>
    <mergeCell ref="L575:M575"/>
    <mergeCell ref="L577:M577"/>
    <mergeCell ref="L581:M581"/>
    <mergeCell ref="L583:M583"/>
    <mergeCell ref="L584:M584"/>
    <mergeCell ref="L586:M586"/>
    <mergeCell ref="L587:M587"/>
    <mergeCell ref="L590:M590"/>
    <mergeCell ref="L592:M592"/>
    <mergeCell ref="L593:M593"/>
    <mergeCell ref="L595:M595"/>
    <mergeCell ref="L596:M596"/>
    <mergeCell ref="L598:M598"/>
    <mergeCell ref="L599:M599"/>
    <mergeCell ref="D866:F866"/>
    <mergeCell ref="E867:F867"/>
    <mergeCell ref="E868:F868"/>
    <mergeCell ref="E869:F869"/>
    <mergeCell ref="A870:C870"/>
    <mergeCell ref="D870:F870"/>
    <mergeCell ref="D871:F871"/>
    <mergeCell ref="E872:F872"/>
    <mergeCell ref="E873:F873"/>
    <mergeCell ref="L534:M534"/>
    <mergeCell ref="L536:M536"/>
    <mergeCell ref="L537:M537"/>
    <mergeCell ref="L538:M538"/>
    <mergeCell ref="L539:M539"/>
    <mergeCell ref="L540:M540"/>
    <mergeCell ref="L541:M541"/>
    <mergeCell ref="L542:M542"/>
    <mergeCell ref="L543:M543"/>
    <mergeCell ref="L544:M544"/>
    <mergeCell ref="L545:M545"/>
    <mergeCell ref="L546:M546"/>
    <mergeCell ref="L547:M547"/>
    <mergeCell ref="L548:M548"/>
    <mergeCell ref="L549:M549"/>
    <mergeCell ref="L551:M551"/>
    <mergeCell ref="L552:M552"/>
    <mergeCell ref="L553:M553"/>
    <mergeCell ref="L555:M555"/>
    <mergeCell ref="L556:M556"/>
    <mergeCell ref="L559:M559"/>
    <mergeCell ref="L561:M561"/>
    <mergeCell ref="L562:M562"/>
    <mergeCell ref="A860:C860"/>
    <mergeCell ref="A865:C865"/>
    <mergeCell ref="A842:C842"/>
    <mergeCell ref="D842:F842"/>
    <mergeCell ref="A843:C843"/>
    <mergeCell ref="D843:F843"/>
    <mergeCell ref="D844:F844"/>
    <mergeCell ref="D845:F845"/>
    <mergeCell ref="E846:F846"/>
    <mergeCell ref="D847:F847"/>
    <mergeCell ref="D848:F848"/>
    <mergeCell ref="D849:F849"/>
    <mergeCell ref="D850:F850"/>
    <mergeCell ref="D851:F851"/>
    <mergeCell ref="E852:F852"/>
    <mergeCell ref="E853:F853"/>
    <mergeCell ref="E854:F854"/>
    <mergeCell ref="D855:F855"/>
    <mergeCell ref="D856:F856"/>
    <mergeCell ref="E857:F857"/>
    <mergeCell ref="E858:F858"/>
    <mergeCell ref="E859:F859"/>
    <mergeCell ref="D860:F860"/>
    <mergeCell ref="D861:F861"/>
    <mergeCell ref="E862:F862"/>
    <mergeCell ref="E863:F863"/>
    <mergeCell ref="E864:F864"/>
    <mergeCell ref="D865:F865"/>
    <mergeCell ref="D832:F832"/>
    <mergeCell ref="D833:F833"/>
    <mergeCell ref="D834:F834"/>
    <mergeCell ref="D835:F835"/>
    <mergeCell ref="D836:F836"/>
    <mergeCell ref="D837:F837"/>
    <mergeCell ref="D838:F838"/>
    <mergeCell ref="D839:F839"/>
    <mergeCell ref="E840:F840"/>
    <mergeCell ref="A841:C841"/>
    <mergeCell ref="D841:F841"/>
    <mergeCell ref="A844:C844"/>
    <mergeCell ref="A847:C847"/>
    <mergeCell ref="A848:C848"/>
    <mergeCell ref="A849:C849"/>
    <mergeCell ref="A850:C850"/>
    <mergeCell ref="A855:C855"/>
    <mergeCell ref="E816:F816"/>
    <mergeCell ref="A817:C817"/>
    <mergeCell ref="D817:F817"/>
    <mergeCell ref="D818:F818"/>
    <mergeCell ref="E819:F819"/>
    <mergeCell ref="E820:F820"/>
    <mergeCell ref="D821:F821"/>
    <mergeCell ref="D822:F822"/>
    <mergeCell ref="D823:F823"/>
    <mergeCell ref="D824:F824"/>
    <mergeCell ref="E825:F825"/>
    <mergeCell ref="E826:F826"/>
    <mergeCell ref="E827:F827"/>
    <mergeCell ref="D828:F828"/>
    <mergeCell ref="D829:F829"/>
    <mergeCell ref="E830:F830"/>
    <mergeCell ref="D831:F831"/>
    <mergeCell ref="D801:F801"/>
    <mergeCell ref="E802:F802"/>
    <mergeCell ref="E803:F803"/>
    <mergeCell ref="E804:F804"/>
    <mergeCell ref="E805:F805"/>
    <mergeCell ref="E806:F806"/>
    <mergeCell ref="E807:F807"/>
    <mergeCell ref="A808:C808"/>
    <mergeCell ref="D808:F808"/>
    <mergeCell ref="D809:F809"/>
    <mergeCell ref="E810:F810"/>
    <mergeCell ref="E811:F811"/>
    <mergeCell ref="A812:C812"/>
    <mergeCell ref="D812:F812"/>
    <mergeCell ref="D813:F813"/>
    <mergeCell ref="E814:F814"/>
    <mergeCell ref="E815:F815"/>
    <mergeCell ref="A785:C785"/>
    <mergeCell ref="A792:C792"/>
    <mergeCell ref="D792:F792"/>
    <mergeCell ref="D785:F785"/>
    <mergeCell ref="D786:F786"/>
    <mergeCell ref="E787:F787"/>
    <mergeCell ref="E788:F788"/>
    <mergeCell ref="E789:F789"/>
    <mergeCell ref="E790:F790"/>
    <mergeCell ref="E791:F791"/>
    <mergeCell ref="A835:C835"/>
    <mergeCell ref="A836:C836"/>
    <mergeCell ref="A837:C837"/>
    <mergeCell ref="A838:C838"/>
    <mergeCell ref="A821:C821"/>
    <mergeCell ref="A822:C822"/>
    <mergeCell ref="A823:C823"/>
    <mergeCell ref="A828:C828"/>
    <mergeCell ref="A831:C831"/>
    <mergeCell ref="A832:C832"/>
    <mergeCell ref="A833:C833"/>
    <mergeCell ref="D793:F793"/>
    <mergeCell ref="E794:F794"/>
    <mergeCell ref="E795:F795"/>
    <mergeCell ref="E796:F796"/>
    <mergeCell ref="E797:F797"/>
    <mergeCell ref="A798:C798"/>
    <mergeCell ref="D798:F798"/>
    <mergeCell ref="A799:C799"/>
    <mergeCell ref="D799:F799"/>
    <mergeCell ref="A800:C800"/>
    <mergeCell ref="D800:F800"/>
    <mergeCell ref="D772:F772"/>
    <mergeCell ref="E773:F773"/>
    <mergeCell ref="E774:F774"/>
    <mergeCell ref="A775:C775"/>
    <mergeCell ref="D775:F775"/>
    <mergeCell ref="D776:F776"/>
    <mergeCell ref="E777:F777"/>
    <mergeCell ref="E778:F778"/>
    <mergeCell ref="A779:C779"/>
    <mergeCell ref="D779:F779"/>
    <mergeCell ref="D780:F780"/>
    <mergeCell ref="E781:F781"/>
    <mergeCell ref="A782:C782"/>
    <mergeCell ref="D782:F782"/>
    <mergeCell ref="A783:C783"/>
    <mergeCell ref="D783:F783"/>
    <mergeCell ref="A784:C784"/>
    <mergeCell ref="D784:F784"/>
    <mergeCell ref="D759:F759"/>
    <mergeCell ref="E760:F760"/>
    <mergeCell ref="A761:C761"/>
    <mergeCell ref="D761:F761"/>
    <mergeCell ref="D762:F762"/>
    <mergeCell ref="E763:F763"/>
    <mergeCell ref="E764:F764"/>
    <mergeCell ref="E765:F765"/>
    <mergeCell ref="A766:C766"/>
    <mergeCell ref="D766:F766"/>
    <mergeCell ref="D767:F767"/>
    <mergeCell ref="E768:F768"/>
    <mergeCell ref="A769:C769"/>
    <mergeCell ref="D769:F769"/>
    <mergeCell ref="A770:C770"/>
    <mergeCell ref="D770:F770"/>
    <mergeCell ref="A771:C771"/>
    <mergeCell ref="D771:F771"/>
    <mergeCell ref="E746:F746"/>
    <mergeCell ref="E747:F747"/>
    <mergeCell ref="E748:F748"/>
    <mergeCell ref="E749:F749"/>
    <mergeCell ref="E750:F750"/>
    <mergeCell ref="E751:F751"/>
    <mergeCell ref="A752:C752"/>
    <mergeCell ref="D752:F752"/>
    <mergeCell ref="A753:C753"/>
    <mergeCell ref="D753:F753"/>
    <mergeCell ref="A754:C754"/>
    <mergeCell ref="D754:F754"/>
    <mergeCell ref="D755:F755"/>
    <mergeCell ref="E756:F756"/>
    <mergeCell ref="E757:F757"/>
    <mergeCell ref="A758:C758"/>
    <mergeCell ref="D758:F758"/>
    <mergeCell ref="D730:F730"/>
    <mergeCell ref="D731:F731"/>
    <mergeCell ref="D732:F732"/>
    <mergeCell ref="D733:F733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A742:C742"/>
    <mergeCell ref="D742:F742"/>
    <mergeCell ref="D743:F743"/>
    <mergeCell ref="E744:F744"/>
    <mergeCell ref="E745:F745"/>
    <mergeCell ref="A701:C701"/>
    <mergeCell ref="D701:F701"/>
    <mergeCell ref="A702:C702"/>
    <mergeCell ref="D702:F702"/>
    <mergeCell ref="D703:F703"/>
    <mergeCell ref="E704:F704"/>
    <mergeCell ref="E705:F705"/>
    <mergeCell ref="D706:F706"/>
    <mergeCell ref="D707:F707"/>
    <mergeCell ref="E708:F708"/>
    <mergeCell ref="A706:C706"/>
    <mergeCell ref="A709:C709"/>
    <mergeCell ref="A715:C715"/>
    <mergeCell ref="A718:C718"/>
    <mergeCell ref="A719:C719"/>
    <mergeCell ref="A720:C720"/>
    <mergeCell ref="A723:C723"/>
    <mergeCell ref="D686:F686"/>
    <mergeCell ref="D687:F687"/>
    <mergeCell ref="D688:F688"/>
    <mergeCell ref="D689:F689"/>
    <mergeCell ref="D690:F690"/>
    <mergeCell ref="D691:F691"/>
    <mergeCell ref="E692:F692"/>
    <mergeCell ref="E693:F693"/>
    <mergeCell ref="E694:F694"/>
    <mergeCell ref="A695:C695"/>
    <mergeCell ref="D695:F695"/>
    <mergeCell ref="D696:F696"/>
    <mergeCell ref="E697:F697"/>
    <mergeCell ref="E698:F698"/>
    <mergeCell ref="E699:F699"/>
    <mergeCell ref="A700:C700"/>
    <mergeCell ref="D700:F700"/>
    <mergeCell ref="E986:F986"/>
    <mergeCell ref="E987:F987"/>
    <mergeCell ref="A988:C988"/>
    <mergeCell ref="D988:F988"/>
    <mergeCell ref="D989:F989"/>
    <mergeCell ref="E990:F990"/>
    <mergeCell ref="E991:F991"/>
    <mergeCell ref="A1003:C1003"/>
    <mergeCell ref="A1004:C1004"/>
    <mergeCell ref="D1004:F1004"/>
    <mergeCell ref="A1005:C1005"/>
    <mergeCell ref="D1005:F1005"/>
    <mergeCell ref="A1006:C1006"/>
    <mergeCell ref="D1006:F1006"/>
    <mergeCell ref="E725:F725"/>
    <mergeCell ref="D726:F726"/>
    <mergeCell ref="D718:F718"/>
    <mergeCell ref="D719:F719"/>
    <mergeCell ref="D720:F720"/>
    <mergeCell ref="D721:F721"/>
    <mergeCell ref="E722:F722"/>
    <mergeCell ref="D723:F723"/>
    <mergeCell ref="D724:F724"/>
    <mergeCell ref="A730:C730"/>
    <mergeCell ref="A731:C731"/>
    <mergeCell ref="A732:C732"/>
    <mergeCell ref="A726:C726"/>
    <mergeCell ref="A727:C727"/>
    <mergeCell ref="D727:F727"/>
    <mergeCell ref="D728:F728"/>
    <mergeCell ref="A729:C729"/>
    <mergeCell ref="D729:F729"/>
    <mergeCell ref="D1021:F1021"/>
    <mergeCell ref="E1022:F1022"/>
    <mergeCell ref="C1024:E1024"/>
    <mergeCell ref="C1025:E1025"/>
    <mergeCell ref="C1026:E1026"/>
    <mergeCell ref="D1014:F1014"/>
    <mergeCell ref="D1015:F1015"/>
    <mergeCell ref="D1016:F1016"/>
    <mergeCell ref="D1017:F1017"/>
    <mergeCell ref="D1018:F1018"/>
    <mergeCell ref="E1019:F1019"/>
    <mergeCell ref="D1020:F1020"/>
    <mergeCell ref="E959:F959"/>
    <mergeCell ref="E960:F960"/>
    <mergeCell ref="E961:F961"/>
    <mergeCell ref="A962:C962"/>
    <mergeCell ref="D962:F962"/>
    <mergeCell ref="D963:F963"/>
    <mergeCell ref="E964:F964"/>
    <mergeCell ref="E965:F965"/>
    <mergeCell ref="A966:C966"/>
    <mergeCell ref="D966:F966"/>
    <mergeCell ref="D967:F967"/>
    <mergeCell ref="E968:F968"/>
    <mergeCell ref="A969:C969"/>
    <mergeCell ref="D969:F969"/>
    <mergeCell ref="D970:F970"/>
    <mergeCell ref="E971:F971"/>
    <mergeCell ref="A972:C972"/>
    <mergeCell ref="D972:F972"/>
    <mergeCell ref="D973:F973"/>
    <mergeCell ref="E974:F974"/>
    <mergeCell ref="A1001:C1001"/>
    <mergeCell ref="D1001:F1001"/>
    <mergeCell ref="D1002:F1002"/>
    <mergeCell ref="D1003:F1003"/>
    <mergeCell ref="A1011:C1011"/>
    <mergeCell ref="A1014:C1014"/>
    <mergeCell ref="A1015:C1015"/>
    <mergeCell ref="A1016:C1016"/>
    <mergeCell ref="A1017:C1017"/>
    <mergeCell ref="A1020:C1020"/>
    <mergeCell ref="D1007:F1007"/>
    <mergeCell ref="E1008:F1008"/>
    <mergeCell ref="E1009:F1009"/>
    <mergeCell ref="E1010:F1010"/>
    <mergeCell ref="D1011:F1011"/>
    <mergeCell ref="D1012:F1012"/>
    <mergeCell ref="E1013:F1013"/>
    <mergeCell ref="E953:F953"/>
    <mergeCell ref="E954:F954"/>
    <mergeCell ref="E955:F955"/>
    <mergeCell ref="E956:F956"/>
    <mergeCell ref="A957:C957"/>
    <mergeCell ref="D957:F957"/>
    <mergeCell ref="D958:F958"/>
    <mergeCell ref="E992:F992"/>
    <mergeCell ref="E993:F993"/>
    <mergeCell ref="E994:F994"/>
    <mergeCell ref="E995:F995"/>
    <mergeCell ref="E996:F996"/>
    <mergeCell ref="E997:F997"/>
    <mergeCell ref="A998:C998"/>
    <mergeCell ref="D998:F998"/>
    <mergeCell ref="D999:F999"/>
    <mergeCell ref="E1000:F1000"/>
    <mergeCell ref="A975:C975"/>
    <mergeCell ref="D975:F975"/>
    <mergeCell ref="D976:F976"/>
    <mergeCell ref="E977:F977"/>
    <mergeCell ref="A978:C978"/>
    <mergeCell ref="D978:F978"/>
    <mergeCell ref="D979:F979"/>
    <mergeCell ref="E980:F980"/>
    <mergeCell ref="A981:C981"/>
    <mergeCell ref="D981:F981"/>
    <mergeCell ref="D982:F982"/>
    <mergeCell ref="E983:F983"/>
    <mergeCell ref="A984:C984"/>
    <mergeCell ref="D984:F984"/>
    <mergeCell ref="D985:F985"/>
    <mergeCell ref="A907:C907"/>
    <mergeCell ref="A912:C912"/>
    <mergeCell ref="A917:C917"/>
    <mergeCell ref="A886:C886"/>
    <mergeCell ref="D886:F886"/>
    <mergeCell ref="D887:F887"/>
    <mergeCell ref="E888:F888"/>
    <mergeCell ref="D889:F889"/>
    <mergeCell ref="D890:F890"/>
    <mergeCell ref="E891:F891"/>
    <mergeCell ref="D892:F892"/>
    <mergeCell ref="D893:F893"/>
    <mergeCell ref="E894:F894"/>
    <mergeCell ref="E895:F895"/>
    <mergeCell ref="E896:F896"/>
    <mergeCell ref="D897:F897"/>
    <mergeCell ref="D898:F898"/>
    <mergeCell ref="E899:F899"/>
    <mergeCell ref="E900:F900"/>
    <mergeCell ref="E901:F901"/>
    <mergeCell ref="D902:F902"/>
    <mergeCell ref="D903:F903"/>
    <mergeCell ref="E904:F904"/>
    <mergeCell ref="E905:F905"/>
    <mergeCell ref="A941:C941"/>
    <mergeCell ref="D941:F941"/>
    <mergeCell ref="D942:F942"/>
    <mergeCell ref="E943:F943"/>
    <mergeCell ref="E944:F944"/>
    <mergeCell ref="E945:F945"/>
    <mergeCell ref="E946:F946"/>
    <mergeCell ref="E947:F947"/>
    <mergeCell ref="E948:F948"/>
    <mergeCell ref="A949:C949"/>
    <mergeCell ref="D949:F949"/>
    <mergeCell ref="D950:F950"/>
    <mergeCell ref="E951:F951"/>
    <mergeCell ref="E952:F952"/>
    <mergeCell ref="E874:F874"/>
    <mergeCell ref="A875:C875"/>
    <mergeCell ref="D875:F875"/>
    <mergeCell ref="D876:F876"/>
    <mergeCell ref="E877:F877"/>
    <mergeCell ref="E878:F878"/>
    <mergeCell ref="E879:F879"/>
    <mergeCell ref="A880:C880"/>
    <mergeCell ref="D880:F880"/>
    <mergeCell ref="D881:F881"/>
    <mergeCell ref="E882:F882"/>
    <mergeCell ref="E883:F883"/>
    <mergeCell ref="E884:F884"/>
    <mergeCell ref="E885:F885"/>
    <mergeCell ref="A889:C889"/>
    <mergeCell ref="A892:C892"/>
    <mergeCell ref="A897:C897"/>
    <mergeCell ref="A902:C902"/>
    <mergeCell ref="E928:F928"/>
    <mergeCell ref="E929:F929"/>
    <mergeCell ref="A930:C930"/>
    <mergeCell ref="D930:F930"/>
    <mergeCell ref="D931:F931"/>
    <mergeCell ref="E932:F932"/>
    <mergeCell ref="A933:C933"/>
    <mergeCell ref="D933:F933"/>
    <mergeCell ref="D934:F934"/>
    <mergeCell ref="E935:F935"/>
    <mergeCell ref="A936:C936"/>
    <mergeCell ref="D936:F936"/>
    <mergeCell ref="D937:F937"/>
    <mergeCell ref="E938:F938"/>
    <mergeCell ref="A939:C939"/>
    <mergeCell ref="D939:F939"/>
    <mergeCell ref="A940:C940"/>
    <mergeCell ref="D940:F940"/>
    <mergeCell ref="D913:F913"/>
    <mergeCell ref="E914:F914"/>
    <mergeCell ref="E915:F915"/>
    <mergeCell ref="E916:F916"/>
    <mergeCell ref="D917:F917"/>
    <mergeCell ref="D918:F918"/>
    <mergeCell ref="E919:F919"/>
    <mergeCell ref="E920:F920"/>
    <mergeCell ref="E921:F921"/>
    <mergeCell ref="A922:C922"/>
    <mergeCell ref="D922:F922"/>
    <mergeCell ref="D923:F923"/>
    <mergeCell ref="E924:F924"/>
    <mergeCell ref="A925:C925"/>
    <mergeCell ref="D925:F925"/>
    <mergeCell ref="D926:F926"/>
    <mergeCell ref="E927:F927"/>
    <mergeCell ref="D612:F612"/>
    <mergeCell ref="D716:F716"/>
    <mergeCell ref="E717:F717"/>
    <mergeCell ref="D709:F709"/>
    <mergeCell ref="D710:F710"/>
    <mergeCell ref="E711:F711"/>
    <mergeCell ref="E712:F712"/>
    <mergeCell ref="E713:F713"/>
    <mergeCell ref="E714:F714"/>
    <mergeCell ref="D715:F715"/>
    <mergeCell ref="E906:F906"/>
    <mergeCell ref="D907:F907"/>
    <mergeCell ref="D908:F908"/>
    <mergeCell ref="E909:F909"/>
    <mergeCell ref="E910:F910"/>
    <mergeCell ref="E911:F911"/>
    <mergeCell ref="D912:F912"/>
    <mergeCell ref="E671:F671"/>
    <mergeCell ref="E672:F672"/>
    <mergeCell ref="E673:F673"/>
    <mergeCell ref="E674:F674"/>
    <mergeCell ref="E675:F675"/>
    <mergeCell ref="D676:F676"/>
    <mergeCell ref="D677:F677"/>
    <mergeCell ref="E678:F678"/>
    <mergeCell ref="D679:F679"/>
    <mergeCell ref="D680:F680"/>
    <mergeCell ref="D681:F681"/>
    <mergeCell ref="D682:F682"/>
    <mergeCell ref="E683:F683"/>
    <mergeCell ref="D684:F684"/>
    <mergeCell ref="D685:F685"/>
    <mergeCell ref="E595:F595"/>
    <mergeCell ref="D596:F596"/>
    <mergeCell ref="D597:F597"/>
    <mergeCell ref="E598:F598"/>
    <mergeCell ref="E599:F599"/>
    <mergeCell ref="D600:F600"/>
    <mergeCell ref="D601:F601"/>
    <mergeCell ref="D602:F602"/>
    <mergeCell ref="D603:F603"/>
    <mergeCell ref="E604:F604"/>
    <mergeCell ref="D605:F605"/>
    <mergeCell ref="D606:F606"/>
    <mergeCell ref="E607:F607"/>
    <mergeCell ref="D608:F608"/>
    <mergeCell ref="D609:F609"/>
    <mergeCell ref="D610:F610"/>
    <mergeCell ref="D611:F611"/>
    <mergeCell ref="D578:F578"/>
    <mergeCell ref="D579:F579"/>
    <mergeCell ref="D580:F580"/>
    <mergeCell ref="D581:F581"/>
    <mergeCell ref="D582:F582"/>
    <mergeCell ref="E583:F583"/>
    <mergeCell ref="D584:F584"/>
    <mergeCell ref="D585:F585"/>
    <mergeCell ref="E586:F586"/>
    <mergeCell ref="E587:F587"/>
    <mergeCell ref="D588:F588"/>
    <mergeCell ref="D589:F589"/>
    <mergeCell ref="D590:F590"/>
    <mergeCell ref="D591:F591"/>
    <mergeCell ref="E592:F592"/>
    <mergeCell ref="D593:F593"/>
    <mergeCell ref="D594:F594"/>
    <mergeCell ref="E501:F501"/>
    <mergeCell ref="E502:F502"/>
    <mergeCell ref="E503:F503"/>
    <mergeCell ref="D564:F564"/>
    <mergeCell ref="D565:F565"/>
    <mergeCell ref="D566:F566"/>
    <mergeCell ref="D567:F567"/>
    <mergeCell ref="D568:F568"/>
    <mergeCell ref="D569:F569"/>
    <mergeCell ref="D570:F570"/>
    <mergeCell ref="D571:F571"/>
    <mergeCell ref="E572:F572"/>
    <mergeCell ref="D573:F573"/>
    <mergeCell ref="D574:F574"/>
    <mergeCell ref="D575:F575"/>
    <mergeCell ref="D576:F576"/>
    <mergeCell ref="E577:F577"/>
    <mergeCell ref="E561:F561"/>
    <mergeCell ref="E562:F562"/>
    <mergeCell ref="E563:F563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D522:F522"/>
    <mergeCell ref="D523:F523"/>
    <mergeCell ref="D484:F484"/>
    <mergeCell ref="D485:F485"/>
    <mergeCell ref="E486:F486"/>
    <mergeCell ref="E487:F487"/>
    <mergeCell ref="D488:F488"/>
    <mergeCell ref="D489:F489"/>
    <mergeCell ref="D490:F490"/>
    <mergeCell ref="D491:F491"/>
    <mergeCell ref="D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D467:F467"/>
    <mergeCell ref="E468:F468"/>
    <mergeCell ref="D469:F469"/>
    <mergeCell ref="D470:F470"/>
    <mergeCell ref="D471:F471"/>
    <mergeCell ref="D472:F472"/>
    <mergeCell ref="D473:F473"/>
    <mergeCell ref="D474:F474"/>
    <mergeCell ref="D475:F475"/>
    <mergeCell ref="D476:F476"/>
    <mergeCell ref="E477:F477"/>
    <mergeCell ref="E478:F478"/>
    <mergeCell ref="D479:F479"/>
    <mergeCell ref="D480:F480"/>
    <mergeCell ref="D481:F481"/>
    <mergeCell ref="D482:F482"/>
    <mergeCell ref="E483:F483"/>
    <mergeCell ref="E450:F450"/>
    <mergeCell ref="E451:F451"/>
    <mergeCell ref="E452:F452"/>
    <mergeCell ref="D453:F453"/>
    <mergeCell ref="D454:F454"/>
    <mergeCell ref="E455:F455"/>
    <mergeCell ref="D456:F456"/>
    <mergeCell ref="D457:F457"/>
    <mergeCell ref="E458:F458"/>
    <mergeCell ref="E459:F459"/>
    <mergeCell ref="D460:F460"/>
    <mergeCell ref="D461:F461"/>
    <mergeCell ref="D462:F462"/>
    <mergeCell ref="D463:F463"/>
    <mergeCell ref="E464:F464"/>
    <mergeCell ref="E465:F465"/>
    <mergeCell ref="D466:F466"/>
    <mergeCell ref="E433:F433"/>
    <mergeCell ref="D434:F434"/>
    <mergeCell ref="D435:F435"/>
    <mergeCell ref="D436:F436"/>
    <mergeCell ref="D437:F437"/>
    <mergeCell ref="E438:F438"/>
    <mergeCell ref="E439:F439"/>
    <mergeCell ref="E440:F440"/>
    <mergeCell ref="E441:F441"/>
    <mergeCell ref="E442:F442"/>
    <mergeCell ref="D443:F443"/>
    <mergeCell ref="D444:F444"/>
    <mergeCell ref="E445:F445"/>
    <mergeCell ref="E446:F446"/>
    <mergeCell ref="D447:F447"/>
    <mergeCell ref="D448:F448"/>
    <mergeCell ref="E449:F449"/>
    <mergeCell ref="D416:F416"/>
    <mergeCell ref="D417:F417"/>
    <mergeCell ref="D418:F418"/>
    <mergeCell ref="D419:F419"/>
    <mergeCell ref="E420:F420"/>
    <mergeCell ref="E421:F421"/>
    <mergeCell ref="E422:F422"/>
    <mergeCell ref="E423:F423"/>
    <mergeCell ref="E424:F424"/>
    <mergeCell ref="E425:F425"/>
    <mergeCell ref="D426:F426"/>
    <mergeCell ref="D427:F427"/>
    <mergeCell ref="E428:F428"/>
    <mergeCell ref="E429:F429"/>
    <mergeCell ref="E430:F430"/>
    <mergeCell ref="E431:F431"/>
    <mergeCell ref="E432:F432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D407:F407"/>
    <mergeCell ref="D408:F408"/>
    <mergeCell ref="E409:F409"/>
    <mergeCell ref="E410:F410"/>
    <mergeCell ref="E411:F411"/>
    <mergeCell ref="D412:F412"/>
    <mergeCell ref="D413:F413"/>
    <mergeCell ref="D414:F414"/>
    <mergeCell ref="D415:F415"/>
    <mergeCell ref="D396:F396"/>
    <mergeCell ref="D397:F397"/>
    <mergeCell ref="E398:F398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D358:F358"/>
    <mergeCell ref="D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D337:F337"/>
    <mergeCell ref="D338:F338"/>
    <mergeCell ref="D339:F339"/>
    <mergeCell ref="D340:F340"/>
    <mergeCell ref="E341:F341"/>
    <mergeCell ref="E342:F342"/>
    <mergeCell ref="E385:F385"/>
    <mergeCell ref="E386:F386"/>
    <mergeCell ref="E387:F387"/>
    <mergeCell ref="E388:F388"/>
    <mergeCell ref="E389:F389"/>
    <mergeCell ref="E390:F390"/>
    <mergeCell ref="D391:F391"/>
    <mergeCell ref="D392:F392"/>
    <mergeCell ref="E393:F393"/>
    <mergeCell ref="D394:F394"/>
    <mergeCell ref="D395:F395"/>
    <mergeCell ref="E372:F372"/>
    <mergeCell ref="D373:F373"/>
    <mergeCell ref="D374:F374"/>
    <mergeCell ref="D375:F375"/>
    <mergeCell ref="D376:F376"/>
    <mergeCell ref="E377:F377"/>
    <mergeCell ref="E378:F378"/>
    <mergeCell ref="D379:F379"/>
    <mergeCell ref="D380:F380"/>
    <mergeCell ref="E381:F381"/>
    <mergeCell ref="D382:F382"/>
    <mergeCell ref="D383:F383"/>
    <mergeCell ref="E384:F384"/>
    <mergeCell ref="E318:F318"/>
    <mergeCell ref="E319:F319"/>
    <mergeCell ref="A305:C305"/>
    <mergeCell ref="A306:C306"/>
    <mergeCell ref="A307:C307"/>
    <mergeCell ref="A311:C311"/>
    <mergeCell ref="A315:C315"/>
    <mergeCell ref="A320:C320"/>
    <mergeCell ref="A324:C324"/>
    <mergeCell ref="D320:F320"/>
    <mergeCell ref="D321:F321"/>
    <mergeCell ref="E322:F322"/>
    <mergeCell ref="E323:F323"/>
    <mergeCell ref="D324:F324"/>
    <mergeCell ref="D325:F325"/>
    <mergeCell ref="D326:F326"/>
    <mergeCell ref="D336:F336"/>
    <mergeCell ref="A659:C659"/>
    <mergeCell ref="A660:C660"/>
    <mergeCell ref="A661:C661"/>
    <mergeCell ref="A666:C666"/>
    <mergeCell ref="A669:C669"/>
    <mergeCell ref="A676:C676"/>
    <mergeCell ref="E293:F293"/>
    <mergeCell ref="E294:F294"/>
    <mergeCell ref="A295:C295"/>
    <mergeCell ref="D295:F295"/>
    <mergeCell ref="D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D305:F305"/>
    <mergeCell ref="D306:F306"/>
    <mergeCell ref="D307:F307"/>
    <mergeCell ref="D308:F308"/>
    <mergeCell ref="E309:F309"/>
    <mergeCell ref="E310:F310"/>
    <mergeCell ref="D311:F311"/>
    <mergeCell ref="D312:F312"/>
    <mergeCell ref="E313:F313"/>
    <mergeCell ref="E314:F314"/>
    <mergeCell ref="D315:F315"/>
    <mergeCell ref="D316:F316"/>
    <mergeCell ref="E317:F317"/>
    <mergeCell ref="A612:C612"/>
    <mergeCell ref="A613:C613"/>
    <mergeCell ref="A617:C617"/>
    <mergeCell ref="A621:C621"/>
    <mergeCell ref="A622:C622"/>
    <mergeCell ref="A623:C623"/>
    <mergeCell ref="A626:C626"/>
    <mergeCell ref="A627:C627"/>
    <mergeCell ref="A628:C628"/>
    <mergeCell ref="A631:C631"/>
    <mergeCell ref="A634:C634"/>
    <mergeCell ref="A635:C635"/>
    <mergeCell ref="A637:C637"/>
    <mergeCell ref="A638:C638"/>
    <mergeCell ref="A639:C639"/>
    <mergeCell ref="A640:C640"/>
    <mergeCell ref="A651:C651"/>
    <mergeCell ref="A578:C578"/>
    <mergeCell ref="A579:C579"/>
    <mergeCell ref="A580:C580"/>
    <mergeCell ref="A581:C581"/>
    <mergeCell ref="A584:C584"/>
    <mergeCell ref="A588:C588"/>
    <mergeCell ref="A589:C589"/>
    <mergeCell ref="A590:C590"/>
    <mergeCell ref="A593:C593"/>
    <mergeCell ref="A596:C596"/>
    <mergeCell ref="A600:C600"/>
    <mergeCell ref="A601:C601"/>
    <mergeCell ref="A602:C602"/>
    <mergeCell ref="A605:C605"/>
    <mergeCell ref="A608:C608"/>
    <mergeCell ref="A610:C610"/>
    <mergeCell ref="A611:C611"/>
    <mergeCell ref="A461:C461"/>
    <mergeCell ref="A462:C462"/>
    <mergeCell ref="A466:C466"/>
    <mergeCell ref="A469:C469"/>
    <mergeCell ref="A470:C470"/>
    <mergeCell ref="A472:C472"/>
    <mergeCell ref="A473:C473"/>
    <mergeCell ref="A530:C530"/>
    <mergeCell ref="A534:C534"/>
    <mergeCell ref="A549:C549"/>
    <mergeCell ref="A553:C553"/>
    <mergeCell ref="A557:C557"/>
    <mergeCell ref="A558:C558"/>
    <mergeCell ref="A559:C559"/>
    <mergeCell ref="A689:C689"/>
    <mergeCell ref="A690:C690"/>
    <mergeCell ref="A679:C679"/>
    <mergeCell ref="A680:C680"/>
    <mergeCell ref="A681:C681"/>
    <mergeCell ref="A684:C684"/>
    <mergeCell ref="A685:C685"/>
    <mergeCell ref="A687:C687"/>
    <mergeCell ref="A688:C688"/>
    <mergeCell ref="A564:C564"/>
    <mergeCell ref="A565:C565"/>
    <mergeCell ref="A567:C567"/>
    <mergeCell ref="A568:C568"/>
    <mergeCell ref="A569:C569"/>
    <mergeCell ref="A570:C570"/>
    <mergeCell ref="A573:C573"/>
    <mergeCell ref="A574:C574"/>
    <mergeCell ref="A575:C575"/>
    <mergeCell ref="A396:C396"/>
    <mergeCell ref="A407:C407"/>
    <mergeCell ref="A412:C412"/>
    <mergeCell ref="A413:C413"/>
    <mergeCell ref="A415:C415"/>
    <mergeCell ref="A416:C416"/>
    <mergeCell ref="A417:C417"/>
    <mergeCell ref="A418:C418"/>
    <mergeCell ref="A426:C426"/>
    <mergeCell ref="A434:C434"/>
    <mergeCell ref="A435:C435"/>
    <mergeCell ref="A436:C436"/>
    <mergeCell ref="A443:C443"/>
    <mergeCell ref="A447:C447"/>
    <mergeCell ref="A453:C453"/>
    <mergeCell ref="A456:C456"/>
    <mergeCell ref="A460:C460"/>
    <mergeCell ref="A474:C474"/>
    <mergeCell ref="A475:C475"/>
    <mergeCell ref="A479:C479"/>
    <mergeCell ref="A480:C480"/>
    <mergeCell ref="A481:C481"/>
    <mergeCell ref="A484:C484"/>
    <mergeCell ref="A488:C488"/>
    <mergeCell ref="A489:C489"/>
    <mergeCell ref="A490:C490"/>
    <mergeCell ref="A491:C491"/>
    <mergeCell ref="A509:C509"/>
    <mergeCell ref="A522:C522"/>
    <mergeCell ref="A523:C523"/>
    <mergeCell ref="A524:C524"/>
    <mergeCell ref="A325:C325"/>
    <mergeCell ref="A326:C326"/>
    <mergeCell ref="A329:C329"/>
    <mergeCell ref="A333:C333"/>
    <mergeCell ref="A334:C334"/>
    <mergeCell ref="A336:C336"/>
    <mergeCell ref="A337:C337"/>
    <mergeCell ref="A338:C338"/>
    <mergeCell ref="A339:C339"/>
    <mergeCell ref="A358:C358"/>
    <mergeCell ref="A373:C373"/>
    <mergeCell ref="A374:C374"/>
    <mergeCell ref="A375:C375"/>
    <mergeCell ref="A379:C379"/>
    <mergeCell ref="A382:C382"/>
    <mergeCell ref="A391:C391"/>
    <mergeCell ref="A394:C394"/>
    <mergeCell ref="A395:C3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4</vt:i4>
      </vt:variant>
    </vt:vector>
  </HeadingPairs>
  <TitlesOfParts>
    <vt:vector size="4" baseType="lpstr">
      <vt:lpstr>MasterItem</vt:lpstr>
      <vt:lpstr>INPUTAN</vt:lpstr>
      <vt:lpstr>Informasi </vt:lpstr>
      <vt:lpstr>RKK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Raihand Syakti Nofekli</cp:lastModifiedBy>
  <dcterms:modified xsi:type="dcterms:W3CDTF">2026-03-09T04:10:51Z</dcterms:modified>
</cp:coreProperties>
</file>